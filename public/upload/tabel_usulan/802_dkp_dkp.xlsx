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HUN 2018\LKPJ GUBERNUR 2018\18. DINAS LUTKAN\DATA LKPJ 2018\L1\"/>
    </mc:Choice>
  </mc:AlternateContent>
  <xr:revisionPtr revIDLastSave="0" documentId="13_ncr:1_{EED29637-96AA-45EE-BDC8-77B09BF7D004}" xr6:coauthVersionLast="40" xr6:coauthVersionMax="40" xr10:uidLastSave="{00000000-0000-0000-0000-000000000000}"/>
  <bookViews>
    <workbookView showSheetTabs="0" xWindow="0" yWindow="450" windowWidth="14760" windowHeight="8460" tabRatio="146" xr2:uid="{00000000-000D-0000-FFFF-FFFF00000000}"/>
  </bookViews>
  <sheets>
    <sheet name="L-1" sheetId="1" r:id="rId1"/>
  </sheets>
  <definedNames>
    <definedName name="_xlnm.Print_Area" localSheetId="0">'L-1'!$B$1:$I$54</definedName>
    <definedName name="_xlnm.Print_Titles" localSheetId="0">'L-1'!$4:$12</definedName>
  </definedNames>
  <calcPr calcId="181029"/>
</workbook>
</file>

<file path=xl/calcChain.xml><?xml version="1.0" encoding="utf-8"?>
<calcChain xmlns="http://schemas.openxmlformats.org/spreadsheetml/2006/main">
  <c r="K43" i="1" l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dIURUTKAN</t>
        </r>
      </text>
    </comment>
  </commentList>
</comments>
</file>

<file path=xl/sharedStrings.xml><?xml version="1.0" encoding="utf-8"?>
<sst xmlns="http://schemas.openxmlformats.org/spreadsheetml/2006/main" count="52" uniqueCount="52">
  <si>
    <t>NO</t>
  </si>
  <si>
    <t>KETERANGAN</t>
  </si>
  <si>
    <t>KABUPATEN/KOTA</t>
  </si>
  <si>
    <r>
      <t xml:space="preserve"> Kolom </t>
    </r>
    <r>
      <rPr>
        <b/>
        <sz val="12"/>
        <rFont val="Arial"/>
        <family val="2"/>
      </rPr>
      <t xml:space="preserve">3 - 8    : Capaian </t>
    </r>
    <r>
      <rPr>
        <sz val="12"/>
        <rFont val="Arial"/>
        <family val="2"/>
      </rPr>
      <t>Indikator Kinerja Program di masing-masing Kabupaten / Kota berikut satuannya</t>
    </r>
  </si>
  <si>
    <t>Catatan : - Diketik dengan program excel office 2010, font arial 10 ukuran kertas A4</t>
  </si>
  <si>
    <t>- Dalam penulisan dikolom tidak diperbolehkan merge cell tapi dengan menggunakan wrap text (di semua kolom)</t>
  </si>
  <si>
    <r>
      <t xml:space="preserve"> Kolom </t>
    </r>
    <r>
      <rPr>
        <b/>
        <sz val="12"/>
        <rFont val="Arial"/>
        <family val="2"/>
      </rPr>
      <t>1          :</t>
    </r>
    <r>
      <rPr>
        <sz val="12"/>
        <rFont val="Arial"/>
        <family val="2"/>
      </rPr>
      <t xml:space="preserve"> No. Urut  Kabupaten / Kota. </t>
    </r>
  </si>
  <si>
    <r>
      <t xml:space="preserve"> Kolom </t>
    </r>
    <r>
      <rPr>
        <b/>
        <sz val="12"/>
        <rFont val="Arial"/>
        <family val="2"/>
      </rPr>
      <t>2          :</t>
    </r>
    <r>
      <rPr>
        <sz val="12"/>
        <rFont val="Arial"/>
        <family val="2"/>
      </rPr>
      <t xml:space="preserve"> Nama Kabupaten Kota </t>
    </r>
  </si>
  <si>
    <r>
      <t xml:space="preserve"> Kolom </t>
    </r>
    <r>
      <rPr>
        <b/>
        <sz val="12"/>
        <rFont val="Arial"/>
        <family val="2"/>
      </rPr>
      <t>9          : Keterangan</t>
    </r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</si>
  <si>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</si>
  <si>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</si>
  <si>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</si>
  <si>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</si>
  <si>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</si>
  <si>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</si>
  <si>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</si>
  <si>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</si>
  <si>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</si>
  <si>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</si>
  <si>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</si>
  <si>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</si>
  <si>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</si>
  <si>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</si>
  <si>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</si>
  <si>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</si>
  <si>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</si>
  <si>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</si>
  <si>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</si>
  <si>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</si>
  <si>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</si>
  <si>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</si>
  <si>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</si>
  <si>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</si>
  <si>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</si>
  <si>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</si>
  <si>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</si>
  <si>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</si>
  <si>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</si>
  <si>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</si>
  <si>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</si>
  <si>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</si>
  <si>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</si>
  <si>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</si>
  <si>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</si>
  <si>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REALISASI INDIKATOR KINERJA PROGRAM DI KABUPATEN / KOTA</t>
  </si>
  <si>
    <t>FORM L-1A</t>
  </si>
  <si>
    <t xml:space="preserve">REALISASI INDIKATOR KINERJA PROGRAM DI KABUPATEN/KOTA TA. 2018 </t>
  </si>
  <si>
    <t>URUSAN : KELAUTAN DAN PERIKANAN</t>
  </si>
  <si>
    <t>Produksi Perikanan Tangkap (Ton)</t>
  </si>
  <si>
    <t>Produksi Perikanan Budidaya (Ton)</t>
  </si>
  <si>
    <t>Produksi Garam (Ton)</t>
  </si>
  <si>
    <t>Angka Konsumsi Ikan (Kg/kapita/tahun)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</si>
</sst>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  <charset val="134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1"/>
      <color theme="0"/>
      <name val="Arial"/>
      <family val="2"/>
    </font>
    <font>
      <sz val="12"/>
      <color theme="0"/>
      <name val="Arial"/>
      <family val="2"/>
    </font>
    <font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/>
    <xf numFmtId="0" fontId="4" fillId="0" borderId="0" xfId="0" applyFont="1"/>
    <xf numFmtId="0" fontId="4" fillId="0" borderId="0" xfId="0" applyFont="1" applyAlignment="1">
      <alignment horizontal="right"/>
    </xf>
    <xf numFmtId="0" fontId="2" fillId="0" borderId="0" xfId="0" applyFont="1"/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vertical="top" wrapText="1"/>
    </xf>
    <xf numFmtId="0" fontId="0" fillId="0" borderId="12" xfId="0" applyBorder="1" applyAlignment="1">
      <alignment horizontal="right" vertical="top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0" fillId="0" borderId="14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Alignment="1">
      <alignment vertical="top"/>
    </xf>
    <xf numFmtId="0" fontId="0" fillId="0" borderId="0" xfId="0" applyFont="1"/>
    <xf numFmtId="3" fontId="0" fillId="0" borderId="16" xfId="0" applyNumberFormat="1" applyBorder="1" applyAlignment="1">
      <alignment vertical="center" wrapText="1"/>
    </xf>
    <xf numFmtId="0" fontId="6" fillId="0" borderId="0" xfId="0" applyFont="1" applyAlignment="1">
      <alignment horizontal="right"/>
    </xf>
    <xf numFmtId="0" fontId="8" fillId="2" borderId="0" xfId="0" applyFont="1" applyFill="1"/>
    <xf numFmtId="0" fontId="9" fillId="2" borderId="0" xfId="0" applyFont="1" applyFill="1" applyAlignment="1">
      <alignment horizontal="right"/>
    </xf>
    <xf numFmtId="0" fontId="9" fillId="2" borderId="0" xfId="0" applyFont="1" applyFill="1" applyAlignment="1">
      <alignment vertical="center"/>
    </xf>
    <xf numFmtId="0" fontId="10" fillId="2" borderId="0" xfId="0" applyFont="1" applyFill="1"/>
    <xf numFmtId="0" fontId="0" fillId="0" borderId="10" xfId="0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3" xfId="0" applyFont="1" applyBorder="1" applyAlignment="1">
      <alignment vertical="center"/>
    </xf>
    <xf numFmtId="0" fontId="2" fillId="0" borderId="15" xfId="0" applyFont="1" applyBorder="1" applyAlignment="1">
      <alignment horizontal="center" vertical="center" wrapText="1"/>
    </xf>
    <xf numFmtId="0" fontId="5" fillId="0" borderId="0" xfId="0" quotePrefix="1" applyFont="1" applyAlignment="1">
      <alignment vertical="center"/>
    </xf>
    <xf numFmtId="0" fontId="0" fillId="0" borderId="17" xfId="0" applyBorder="1" applyAlignment="1">
      <alignment horizontal="center" vertical="center" wrapText="1"/>
    </xf>
    <xf numFmtId="4" fontId="0" fillId="0" borderId="0" xfId="0" applyNumberFormat="1"/>
    <xf numFmtId="4" fontId="2" fillId="0" borderId="15" xfId="0" applyNumberFormat="1" applyFont="1" applyBorder="1" applyAlignment="1">
      <alignment horizontal="center" vertical="center" wrapText="1"/>
    </xf>
    <xf numFmtId="4" fontId="0" fillId="0" borderId="12" xfId="0" applyNumberFormat="1" applyBorder="1" applyAlignment="1">
      <alignment vertical="top" wrapText="1"/>
    </xf>
    <xf numFmtId="4" fontId="0" fillId="0" borderId="15" xfId="0" applyNumberFormat="1" applyBorder="1" applyAlignment="1">
      <alignment vertical="center" wrapText="1"/>
    </xf>
    <xf numFmtId="4" fontId="5" fillId="0" borderId="0" xfId="0" applyNumberFormat="1" applyFont="1" applyAlignment="1">
      <alignment horizontal="left"/>
    </xf>
    <xf numFmtId="4" fontId="10" fillId="2" borderId="0" xfId="0" applyNumberFormat="1" applyFont="1" applyFill="1"/>
    <xf numFmtId="4" fontId="5" fillId="0" borderId="0" xfId="0" applyNumberFormat="1" applyFont="1"/>
    <xf numFmtId="4" fontId="5" fillId="0" borderId="0" xfId="0" applyNumberFormat="1" applyFont="1" applyAlignment="1">
      <alignment vertical="top"/>
    </xf>
    <xf numFmtId="3" fontId="0" fillId="0" borderId="9" xfId="0" applyNumberFormat="1" applyBorder="1" applyAlignment="1">
      <alignment horizontal="center" vertical="center" wrapText="1"/>
    </xf>
    <xf numFmtId="4" fontId="0" fillId="0" borderId="0" xfId="0" applyNumberFormat="1" applyAlignment="1">
      <alignment vertical="center"/>
    </xf>
    <xf numFmtId="4" fontId="7" fillId="0" borderId="15" xfId="0" applyNumberFormat="1" applyFont="1" applyBorder="1" applyAlignment="1">
      <alignment vertical="center" wrapText="1"/>
    </xf>
    <xf numFmtId="4" fontId="10" fillId="0" borderId="0" xfId="0" applyNumberFormat="1" applyFont="1" applyBorder="1" applyAlignment="1">
      <alignment vertical="center" wrapText="1"/>
    </xf>
    <xf numFmtId="4" fontId="10" fillId="0" borderId="0" xfId="0" applyNumberFormat="1" applyFont="1"/>
    <xf numFmtId="4" fontId="10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/>
    </xf>
    <xf numFmtId="3" fontId="10" fillId="0" borderId="0" xfId="0" applyNumberFormat="1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4" fontId="7" fillId="0" borderId="0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colors>
    <mruColors>
      <color rgb="FFCCFFCC"/>
      <color rgb="FFFFFFCC"/>
      <color rgb="FFFFFF99"/>
      <color rgb="FFFFCC99"/>
      <color rgb="FFCCCCFF"/>
      <color rgb="FF99FF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L72"/>
  <sheetViews>
    <sheetView tabSelected="1" topLeftCell="B1" zoomScale="70" zoomScaleNormal="70" zoomScaleSheetLayoutView="70" workbookViewId="0">
      <pane ySplit="7" topLeftCell="A23" activePane="bottomLeft" state="frozenSplit"/>
      <selection pane="bottomLeft" activeCell="J29" sqref="J29"/>
    </sheetView>
  </sheetViews>
  <sheetFormatPr defaultColWidth="9" defaultRowHeight="14.25"/>
  <cols>
    <col min="1" max="1" width="5.7109375" style="2" customWidth="1"/>
    <col min="2" max="2" width="4.7109375" customWidth="1"/>
    <col min="3" max="3" width="5.7109375" style="3" customWidth="1"/>
    <col min="4" max="4" width="13.140625" customWidth="1"/>
    <col min="5" max="6" width="21.5703125" style="4" customWidth="1"/>
    <col min="7" max="7" width="21.5703125" customWidth="1"/>
    <col min="8" max="8" width="21.5703125" style="34" customWidth="1"/>
    <col min="9" max="9" width="17.7109375" customWidth="1"/>
    <col min="10" max="10" width="28.42578125" style="46" customWidth="1"/>
    <col min="11" max="11" width="15.140625" style="46" customWidth="1"/>
    <col min="12" max="12" width="9" style="34"/>
  </cols>
  <sheetData>
    <row r="1" spans="1:12" ht="15.75">
      <c r="B1" s="53" t="s">
        <v>46</v>
      </c>
      <c r="C1" s="54"/>
      <c r="D1" s="54"/>
      <c r="E1" s="54"/>
      <c r="F1" s="54"/>
      <c r="G1" s="54"/>
      <c r="H1" s="54"/>
      <c r="I1" s="54"/>
    </row>
    <row r="2" spans="1:12" ht="15">
      <c r="B2" s="5" t="s">
        <v>47</v>
      </c>
      <c r="C2" s="6"/>
      <c r="D2" s="7"/>
      <c r="I2" s="3" t="s">
        <v>45</v>
      </c>
    </row>
    <row r="3" spans="1:12" ht="15" thickBot="1"/>
    <row r="4" spans="1:12" ht="13.5" customHeight="1">
      <c r="B4" s="59" t="s">
        <v>0</v>
      </c>
      <c r="C4" s="57" t="s">
        <v>2</v>
      </c>
      <c r="D4" s="61"/>
      <c r="E4" s="57" t="s">
        <v>44</v>
      </c>
      <c r="F4" s="58"/>
      <c r="G4" s="58"/>
      <c r="H4" s="58"/>
      <c r="I4" s="64" t="s">
        <v>1</v>
      </c>
    </row>
    <row r="5" spans="1:12" ht="29.25" customHeight="1">
      <c r="B5" s="60"/>
      <c r="C5" s="62"/>
      <c r="D5" s="63"/>
      <c r="E5" s="31" t="s">
        <v>48</v>
      </c>
      <c r="F5" s="31" t="s">
        <v>49</v>
      </c>
      <c r="G5" s="31" t="s">
        <v>50</v>
      </c>
      <c r="H5" s="35" t="s">
        <v>51</v>
      </c>
      <c r="I5" s="65"/>
    </row>
    <row r="6" spans="1:12" ht="15" thickBot="1">
      <c r="B6" s="8">
        <v>1</v>
      </c>
      <c r="C6" s="55">
        <v>2</v>
      </c>
      <c r="D6" s="56"/>
      <c r="E6" s="28">
        <v>3</v>
      </c>
      <c r="F6" s="9">
        <v>4</v>
      </c>
      <c r="G6" s="10">
        <v>5</v>
      </c>
      <c r="H6" s="42">
        <v>6</v>
      </c>
      <c r="I6" s="33">
        <v>7</v>
      </c>
    </row>
    <row r="7" spans="1:12" ht="5.0999999999999996" customHeight="1">
      <c r="B7" s="11"/>
      <c r="C7" s="12"/>
      <c r="D7" s="11"/>
      <c r="E7" s="11"/>
      <c r="F7" s="11"/>
      <c r="G7" s="11"/>
      <c r="H7" s="36"/>
      <c r="I7" s="11"/>
    </row>
    <row r="8" spans="1:12" s="1" customFormat="1" ht="15">
      <c r="A8" s="14"/>
      <c r="B8" s="29">
        <v>1</v>
      </c>
      <c r="C8" s="30" t="s">
        <v>9</v>
      </c>
      <c r="D8" s="15"/>
      <c r="E8" s="44">
        <v>19207.113000000001</v>
      </c>
      <c r="F8" s="37">
        <v>13412.457367630708</v>
      </c>
      <c r="G8" s="37"/>
      <c r="H8" s="37">
        <v>27.216000000000001</v>
      </c>
      <c r="I8" s="22"/>
      <c r="J8" s="47">
        <v>19207113</v>
      </c>
      <c r="K8" s="47">
        <f>J8/1000</f>
        <v>19207.113000000001</v>
      </c>
      <c r="L8" s="43"/>
    </row>
    <row r="9" spans="1:12" s="1" customFormat="1" ht="15">
      <c r="A9" s="14"/>
      <c r="B9" s="29">
        <v>2</v>
      </c>
      <c r="C9" s="30" t="s">
        <v>10</v>
      </c>
      <c r="D9" s="15"/>
      <c r="E9" s="44">
        <v>890.33799999999997</v>
      </c>
      <c r="F9" s="37">
        <v>8074.6283985</v>
      </c>
      <c r="G9" s="37"/>
      <c r="H9" s="37">
        <v>15.0465</v>
      </c>
      <c r="I9" s="22"/>
      <c r="J9" s="47">
        <v>890338</v>
      </c>
      <c r="K9" s="47">
        <f t="shared" ref="K9:K42" si="0">J9/1000</f>
        <v>890.33799999999997</v>
      </c>
      <c r="L9" s="43"/>
    </row>
    <row r="10" spans="1:12" s="1" customFormat="1" ht="15">
      <c r="A10" s="14"/>
      <c r="B10" s="29">
        <v>3</v>
      </c>
      <c r="C10" s="30" t="s">
        <v>11</v>
      </c>
      <c r="D10" s="15"/>
      <c r="E10" s="44">
        <v>209.22499999999999</v>
      </c>
      <c r="F10" s="37">
        <v>4297.7134000000005</v>
      </c>
      <c r="G10" s="37"/>
      <c r="H10" s="37">
        <v>14.0595</v>
      </c>
      <c r="I10" s="22"/>
      <c r="J10" s="47">
        <v>209225</v>
      </c>
      <c r="K10" s="47">
        <f t="shared" si="0"/>
        <v>209.22499999999999</v>
      </c>
      <c r="L10" s="43"/>
    </row>
    <row r="11" spans="1:12" s="1" customFormat="1" ht="15">
      <c r="A11" s="14"/>
      <c r="B11" s="29">
        <v>4</v>
      </c>
      <c r="C11" s="30" t="s">
        <v>12</v>
      </c>
      <c r="D11" s="15"/>
      <c r="E11" s="44">
        <v>3276.9870000000001</v>
      </c>
      <c r="F11" s="37">
        <v>33722.375431999979</v>
      </c>
      <c r="G11" s="37"/>
      <c r="H11" s="37">
        <v>25.893000000000001</v>
      </c>
      <c r="I11" s="22"/>
      <c r="J11" s="47">
        <v>3276987</v>
      </c>
      <c r="K11" s="47">
        <f t="shared" si="0"/>
        <v>3276.9870000000001</v>
      </c>
      <c r="L11" s="43"/>
    </row>
    <row r="12" spans="1:12" s="1" customFormat="1" ht="15">
      <c r="A12" s="14"/>
      <c r="B12" s="29">
        <v>5</v>
      </c>
      <c r="C12" s="30" t="s">
        <v>13</v>
      </c>
      <c r="D12" s="15"/>
      <c r="E12" s="44">
        <v>3657.8270000000002</v>
      </c>
      <c r="F12" s="37">
        <v>5780.6030360000004</v>
      </c>
      <c r="G12" s="37"/>
      <c r="H12" s="37">
        <v>20.611499999999999</v>
      </c>
      <c r="I12" s="22"/>
      <c r="J12" s="47">
        <v>3657827</v>
      </c>
      <c r="K12" s="47">
        <f t="shared" si="0"/>
        <v>3657.8270000000002</v>
      </c>
      <c r="L12" s="43"/>
    </row>
    <row r="13" spans="1:12" s="1" customFormat="1" ht="15">
      <c r="A13" s="14"/>
      <c r="B13" s="29">
        <v>6</v>
      </c>
      <c r="C13" s="30" t="s">
        <v>14</v>
      </c>
      <c r="D13" s="15"/>
      <c r="E13" s="44">
        <v>176.04599999999999</v>
      </c>
      <c r="F13" s="37">
        <v>5781.4323880000002</v>
      </c>
      <c r="G13" s="37"/>
      <c r="H13" s="37">
        <v>19.740000000000002</v>
      </c>
      <c r="I13" s="22"/>
      <c r="J13" s="47">
        <v>176046</v>
      </c>
      <c r="K13" s="47">
        <f t="shared" si="0"/>
        <v>176.04599999999999</v>
      </c>
      <c r="L13" s="43"/>
    </row>
    <row r="14" spans="1:12" s="1" customFormat="1" ht="15">
      <c r="A14" s="14"/>
      <c r="B14" s="29">
        <v>7</v>
      </c>
      <c r="C14" s="30" t="s">
        <v>15</v>
      </c>
      <c r="D14" s="15"/>
      <c r="E14" s="44">
        <v>1225.0930000000001</v>
      </c>
      <c r="F14" s="37">
        <v>2093.167328</v>
      </c>
      <c r="G14" s="37"/>
      <c r="H14" s="37">
        <v>26.638500000000001</v>
      </c>
      <c r="I14" s="22"/>
      <c r="J14" s="47">
        <v>1225093</v>
      </c>
      <c r="K14" s="47">
        <f t="shared" si="0"/>
        <v>1225.0930000000001</v>
      </c>
      <c r="L14" s="43"/>
    </row>
    <row r="15" spans="1:12" s="1" customFormat="1" ht="15">
      <c r="A15" s="14"/>
      <c r="B15" s="29">
        <v>8</v>
      </c>
      <c r="C15" s="30" t="s">
        <v>16</v>
      </c>
      <c r="D15" s="15"/>
      <c r="E15" s="44">
        <v>1622.9179999999999</v>
      </c>
      <c r="F15" s="37">
        <v>12777.83042</v>
      </c>
      <c r="G15" s="37"/>
      <c r="H15" s="37">
        <v>18.259499999999999</v>
      </c>
      <c r="I15" s="22"/>
      <c r="J15" s="47">
        <v>1622918</v>
      </c>
      <c r="K15" s="47">
        <f t="shared" si="0"/>
        <v>1622.9179999999999</v>
      </c>
      <c r="L15" s="43"/>
    </row>
    <row r="16" spans="1:12" s="1" customFormat="1" ht="15">
      <c r="A16" s="14"/>
      <c r="B16" s="29">
        <v>9</v>
      </c>
      <c r="C16" s="30" t="s">
        <v>17</v>
      </c>
      <c r="D16" s="15"/>
      <c r="E16" s="44">
        <v>1749.0640000000001</v>
      </c>
      <c r="F16" s="37">
        <v>34844.205651344637</v>
      </c>
      <c r="G16" s="37"/>
      <c r="H16" s="37">
        <v>21.398999999999997</v>
      </c>
      <c r="I16" s="22"/>
      <c r="J16" s="47">
        <v>1749064</v>
      </c>
      <c r="K16" s="47">
        <f t="shared" si="0"/>
        <v>1749.0640000000001</v>
      </c>
      <c r="L16" s="43"/>
    </row>
    <row r="17" spans="1:12" s="1" customFormat="1" ht="15">
      <c r="A17" s="14"/>
      <c r="B17" s="29">
        <v>10</v>
      </c>
      <c r="C17" s="30" t="s">
        <v>18</v>
      </c>
      <c r="D17" s="15"/>
      <c r="E17" s="44">
        <v>67.992999999999995</v>
      </c>
      <c r="F17" s="37">
        <v>26001.671979999999</v>
      </c>
      <c r="G17" s="37"/>
      <c r="H17" s="37">
        <v>20.1495</v>
      </c>
      <c r="I17" s="22"/>
      <c r="J17" s="47">
        <v>67993</v>
      </c>
      <c r="K17" s="47">
        <f t="shared" si="0"/>
        <v>67.992999999999995</v>
      </c>
      <c r="L17" s="43"/>
    </row>
    <row r="18" spans="1:12" s="1" customFormat="1" ht="15">
      <c r="A18" s="14"/>
      <c r="B18" s="29">
        <v>11</v>
      </c>
      <c r="C18" s="30" t="s">
        <v>19</v>
      </c>
      <c r="D18" s="15"/>
      <c r="E18" s="44">
        <v>496.31799999999998</v>
      </c>
      <c r="F18" s="37">
        <v>14735.3790508</v>
      </c>
      <c r="G18" s="37"/>
      <c r="H18" s="37">
        <v>18.794999999999998</v>
      </c>
      <c r="I18" s="22"/>
      <c r="J18" s="47">
        <v>496318</v>
      </c>
      <c r="K18" s="47">
        <f t="shared" si="0"/>
        <v>496.31799999999998</v>
      </c>
      <c r="L18" s="43"/>
    </row>
    <row r="19" spans="1:12" s="1" customFormat="1" ht="15">
      <c r="A19" s="14"/>
      <c r="B19" s="29">
        <v>12</v>
      </c>
      <c r="C19" s="30" t="s">
        <v>20</v>
      </c>
      <c r="D19" s="15"/>
      <c r="E19" s="44">
        <v>8942.2459999999992</v>
      </c>
      <c r="F19" s="37">
        <v>12393.010472266667</v>
      </c>
      <c r="G19" s="37"/>
      <c r="H19" s="37">
        <v>22.259999999999998</v>
      </c>
      <c r="I19" s="22"/>
      <c r="J19" s="47">
        <v>8942246</v>
      </c>
      <c r="K19" s="47">
        <f t="shared" si="0"/>
        <v>8942.2459999999992</v>
      </c>
      <c r="L19" s="43"/>
    </row>
    <row r="20" spans="1:12" s="1" customFormat="1" ht="15">
      <c r="A20" s="14"/>
      <c r="B20" s="29">
        <v>13</v>
      </c>
      <c r="C20" s="30" t="s">
        <v>21</v>
      </c>
      <c r="D20" s="15"/>
      <c r="E20" s="44">
        <v>1629.9849999999999</v>
      </c>
      <c r="F20" s="37">
        <v>1797.6118900000001</v>
      </c>
      <c r="G20" s="37"/>
      <c r="H20" s="37">
        <v>19.068000000000001</v>
      </c>
      <c r="I20" s="22"/>
      <c r="J20" s="47">
        <v>1629985</v>
      </c>
      <c r="K20" s="47">
        <f t="shared" si="0"/>
        <v>1629.9849999999999</v>
      </c>
      <c r="L20" s="43"/>
    </row>
    <row r="21" spans="1:12" s="1" customFormat="1" ht="15">
      <c r="A21" s="14"/>
      <c r="B21" s="29">
        <v>14</v>
      </c>
      <c r="C21" s="30" t="s">
        <v>22</v>
      </c>
      <c r="D21" s="15"/>
      <c r="E21" s="44">
        <v>2682.991</v>
      </c>
      <c r="F21" s="37">
        <v>43642.18</v>
      </c>
      <c r="G21" s="37"/>
      <c r="H21" s="37">
        <v>18.437999999999999</v>
      </c>
      <c r="I21" s="22"/>
      <c r="J21" s="47">
        <v>2682991</v>
      </c>
      <c r="K21" s="47">
        <f t="shared" si="0"/>
        <v>2682.991</v>
      </c>
      <c r="L21" s="43"/>
    </row>
    <row r="22" spans="1:12" s="1" customFormat="1" ht="15">
      <c r="A22" s="14"/>
      <c r="B22" s="29">
        <v>15</v>
      </c>
      <c r="C22" s="30" t="s">
        <v>23</v>
      </c>
      <c r="D22" s="15"/>
      <c r="E22" s="44">
        <v>1006.696</v>
      </c>
      <c r="F22" s="37">
        <v>4165.7273999999998</v>
      </c>
      <c r="G22" s="37"/>
      <c r="H22" s="37">
        <v>16.4115</v>
      </c>
      <c r="I22" s="22"/>
      <c r="J22" s="47">
        <v>1006696</v>
      </c>
      <c r="K22" s="47">
        <f t="shared" si="0"/>
        <v>1006.696</v>
      </c>
      <c r="L22" s="43"/>
    </row>
    <row r="23" spans="1:12" s="1" customFormat="1" ht="15">
      <c r="A23" s="14"/>
      <c r="B23" s="29">
        <v>16</v>
      </c>
      <c r="C23" s="30" t="s">
        <v>24</v>
      </c>
      <c r="D23" s="15"/>
      <c r="E23" s="44">
        <v>64.992000000000004</v>
      </c>
      <c r="F23" s="37">
        <v>162.78899999999999</v>
      </c>
      <c r="G23" s="37"/>
      <c r="H23" s="37">
        <v>18.522000000000002</v>
      </c>
      <c r="I23" s="22"/>
      <c r="J23" s="47">
        <v>64992</v>
      </c>
      <c r="K23" s="47">
        <f t="shared" si="0"/>
        <v>64.992000000000004</v>
      </c>
      <c r="L23" s="43"/>
    </row>
    <row r="24" spans="1:12" s="1" customFormat="1" ht="15">
      <c r="A24" s="14"/>
      <c r="B24" s="29">
        <v>17</v>
      </c>
      <c r="C24" s="30" t="s">
        <v>25</v>
      </c>
      <c r="D24" s="15"/>
      <c r="E24" s="44">
        <v>99182.138000000006</v>
      </c>
      <c r="F24" s="37">
        <v>5548.6</v>
      </c>
      <c r="G24" s="37">
        <v>165522</v>
      </c>
      <c r="H24" s="37">
        <v>31.080000000000002</v>
      </c>
      <c r="I24" s="22"/>
      <c r="J24" s="47">
        <v>99182138</v>
      </c>
      <c r="K24" s="47">
        <f t="shared" si="0"/>
        <v>99182.138000000006</v>
      </c>
      <c r="L24" s="43"/>
    </row>
    <row r="25" spans="1:12" s="1" customFormat="1" ht="15">
      <c r="A25" s="14"/>
      <c r="B25" s="29">
        <v>18</v>
      </c>
      <c r="C25" s="30" t="s">
        <v>26</v>
      </c>
      <c r="D25" s="15"/>
      <c r="E25" s="44">
        <v>50478.991000000002</v>
      </c>
      <c r="F25" s="37">
        <v>43608.040999999997</v>
      </c>
      <c r="G25" s="37">
        <v>327798.34000000003</v>
      </c>
      <c r="H25" s="37">
        <v>42.294000000000004</v>
      </c>
      <c r="I25" s="22"/>
      <c r="J25" s="47">
        <v>50478991</v>
      </c>
      <c r="K25" s="47">
        <f t="shared" si="0"/>
        <v>50478.991000000002</v>
      </c>
      <c r="L25" s="43"/>
    </row>
    <row r="26" spans="1:12" s="1" customFormat="1" ht="15">
      <c r="A26" s="14"/>
      <c r="B26" s="29">
        <v>19</v>
      </c>
      <c r="C26" s="30" t="s">
        <v>27</v>
      </c>
      <c r="D26" s="15"/>
      <c r="E26" s="44">
        <v>833.928</v>
      </c>
      <c r="F26" s="37">
        <v>1059.75366839</v>
      </c>
      <c r="G26" s="37"/>
      <c r="H26" s="37">
        <v>26.680500000000002</v>
      </c>
      <c r="I26" s="22"/>
      <c r="J26" s="47">
        <v>833928</v>
      </c>
      <c r="K26" s="47">
        <f t="shared" si="0"/>
        <v>833.928</v>
      </c>
      <c r="L26" s="43"/>
    </row>
    <row r="27" spans="1:12" s="1" customFormat="1" ht="15">
      <c r="A27" s="14"/>
      <c r="B27" s="29">
        <v>20</v>
      </c>
      <c r="C27" s="30" t="s">
        <v>28</v>
      </c>
      <c r="D27" s="15"/>
      <c r="E27" s="44">
        <v>9120.2610000000004</v>
      </c>
      <c r="F27" s="37">
        <v>12200</v>
      </c>
      <c r="G27" s="37">
        <v>49302.55</v>
      </c>
      <c r="H27" s="37">
        <v>27.625499999999999</v>
      </c>
      <c r="I27" s="22"/>
      <c r="J27" s="47">
        <v>9120261</v>
      </c>
      <c r="K27" s="47">
        <f t="shared" si="0"/>
        <v>9120.2610000000004</v>
      </c>
      <c r="L27" s="43"/>
    </row>
    <row r="28" spans="1:12" s="1" customFormat="1" ht="15">
      <c r="A28" s="14"/>
      <c r="B28" s="29">
        <v>21</v>
      </c>
      <c r="C28" s="30" t="s">
        <v>29</v>
      </c>
      <c r="D28" s="15"/>
      <c r="E28" s="44">
        <v>23632.289000000001</v>
      </c>
      <c r="F28" s="37">
        <v>27618.117467999997</v>
      </c>
      <c r="G28" s="37">
        <v>172446.7</v>
      </c>
      <c r="H28" s="37">
        <v>36.078000000000003</v>
      </c>
      <c r="I28" s="22"/>
      <c r="J28" s="47">
        <v>23632289</v>
      </c>
      <c r="K28" s="47">
        <f t="shared" si="0"/>
        <v>23632.289000000001</v>
      </c>
      <c r="L28" s="43"/>
    </row>
    <row r="29" spans="1:12" s="1" customFormat="1" ht="15">
      <c r="A29" s="14"/>
      <c r="B29" s="29">
        <v>22</v>
      </c>
      <c r="C29" s="30" t="s">
        <v>30</v>
      </c>
      <c r="D29" s="15"/>
      <c r="E29" s="44">
        <v>1820.8810000000001</v>
      </c>
      <c r="F29" s="37">
        <v>4916.3364000000001</v>
      </c>
      <c r="G29" s="37"/>
      <c r="H29" s="37">
        <v>21.902999999999999</v>
      </c>
      <c r="I29" s="22"/>
      <c r="J29" s="47">
        <v>1820881</v>
      </c>
      <c r="K29" s="47">
        <f t="shared" si="0"/>
        <v>1820.8810000000001</v>
      </c>
      <c r="L29" s="43"/>
    </row>
    <row r="30" spans="1:12" s="1" customFormat="1" ht="15">
      <c r="A30" s="14"/>
      <c r="B30" s="29">
        <v>23</v>
      </c>
      <c r="C30" s="30" t="s">
        <v>31</v>
      </c>
      <c r="D30" s="15"/>
      <c r="E30" s="44">
        <v>792.32100000000003</v>
      </c>
      <c r="F30" s="37">
        <v>10762.566800000001</v>
      </c>
      <c r="G30" s="37"/>
      <c r="H30" s="37">
        <v>20.475000000000001</v>
      </c>
      <c r="I30" s="22"/>
      <c r="J30" s="47">
        <v>792321</v>
      </c>
      <c r="K30" s="47">
        <f t="shared" si="0"/>
        <v>792.32100000000003</v>
      </c>
      <c r="L30" s="43"/>
    </row>
    <row r="31" spans="1:12" s="1" customFormat="1" ht="15">
      <c r="A31" s="14"/>
      <c r="B31" s="29">
        <v>24</v>
      </c>
      <c r="C31" s="30" t="s">
        <v>32</v>
      </c>
      <c r="D31" s="15"/>
      <c r="E31" s="44">
        <v>2553.5650000000001</v>
      </c>
      <c r="F31" s="37">
        <v>27540.735120000001</v>
      </c>
      <c r="G31" s="37"/>
      <c r="H31" s="37">
        <v>25.934999999999999</v>
      </c>
      <c r="I31" s="22"/>
      <c r="J31" s="47">
        <v>2553565</v>
      </c>
      <c r="K31" s="47">
        <f t="shared" si="0"/>
        <v>2553.5650000000001</v>
      </c>
      <c r="L31" s="43"/>
    </row>
    <row r="32" spans="1:12" s="1" customFormat="1" ht="15">
      <c r="A32" s="14"/>
      <c r="B32" s="29">
        <v>25</v>
      </c>
      <c r="C32" s="30" t="s">
        <v>33</v>
      </c>
      <c r="D32" s="15"/>
      <c r="E32" s="44">
        <v>36913.550000000003</v>
      </c>
      <c r="F32" s="37">
        <v>3.3837824200000006</v>
      </c>
      <c r="G32" s="37"/>
      <c r="H32" s="37">
        <v>27.678000000000001</v>
      </c>
      <c r="I32" s="22"/>
      <c r="J32" s="47">
        <v>36913550</v>
      </c>
      <c r="K32" s="47">
        <f t="shared" si="0"/>
        <v>36913.550000000003</v>
      </c>
      <c r="L32" s="43"/>
    </row>
    <row r="33" spans="1:12" s="1" customFormat="1" ht="15">
      <c r="A33" s="14"/>
      <c r="B33" s="29">
        <v>26</v>
      </c>
      <c r="C33" s="30" t="s">
        <v>34</v>
      </c>
      <c r="D33" s="15"/>
      <c r="E33" s="44">
        <v>10717.78</v>
      </c>
      <c r="F33" s="37">
        <v>8124.17904</v>
      </c>
      <c r="G33" s="37"/>
      <c r="H33" s="37">
        <v>22.89</v>
      </c>
      <c r="I33" s="22"/>
      <c r="J33" s="47">
        <v>10717780</v>
      </c>
      <c r="K33" s="47">
        <f t="shared" si="0"/>
        <v>10717.78</v>
      </c>
      <c r="L33" s="43"/>
    </row>
    <row r="34" spans="1:12" s="1" customFormat="1" ht="15">
      <c r="A34" s="14"/>
      <c r="B34" s="29">
        <v>27</v>
      </c>
      <c r="C34" s="30" t="s">
        <v>35</v>
      </c>
      <c r="D34" s="15"/>
      <c r="E34" s="44">
        <v>18797.955999999998</v>
      </c>
      <c r="F34" s="37">
        <v>23929.037686</v>
      </c>
      <c r="G34" s="37"/>
      <c r="H34" s="37">
        <v>26.922000000000001</v>
      </c>
      <c r="I34" s="22"/>
      <c r="J34" s="47">
        <v>18797956</v>
      </c>
      <c r="K34" s="47">
        <f t="shared" si="0"/>
        <v>18797.955999999998</v>
      </c>
      <c r="L34" s="43"/>
    </row>
    <row r="35" spans="1:12" s="1" customFormat="1" ht="15">
      <c r="A35" s="14"/>
      <c r="B35" s="29">
        <v>28</v>
      </c>
      <c r="C35" s="30" t="s">
        <v>36</v>
      </c>
      <c r="D35" s="15"/>
      <c r="E35" s="44">
        <v>3575.3290000000002</v>
      </c>
      <c r="F35" s="37">
        <v>7643.8615199999995</v>
      </c>
      <c r="G35" s="37"/>
      <c r="H35" s="37">
        <v>22.155000000000001</v>
      </c>
      <c r="I35" s="22"/>
      <c r="J35" s="47">
        <v>3575329</v>
      </c>
      <c r="K35" s="47">
        <f t="shared" si="0"/>
        <v>3575.3290000000002</v>
      </c>
      <c r="L35" s="43"/>
    </row>
    <row r="36" spans="1:12" s="1" customFormat="1" ht="15">
      <c r="A36" s="14"/>
      <c r="B36" s="29">
        <v>29</v>
      </c>
      <c r="C36" s="30" t="s">
        <v>37</v>
      </c>
      <c r="D36" s="15"/>
      <c r="E36" s="44">
        <v>14065.162</v>
      </c>
      <c r="F36" s="37">
        <v>102963.04056000001</v>
      </c>
      <c r="G36" s="37">
        <v>47312.02</v>
      </c>
      <c r="H36" s="37">
        <v>21.251999999999999</v>
      </c>
      <c r="I36" s="22"/>
      <c r="J36" s="47">
        <v>14065162</v>
      </c>
      <c r="K36" s="47">
        <f t="shared" si="0"/>
        <v>14065.162</v>
      </c>
      <c r="L36" s="43"/>
    </row>
    <row r="37" spans="1:12" s="1" customFormat="1" ht="15">
      <c r="A37" s="14"/>
      <c r="B37" s="29">
        <v>30</v>
      </c>
      <c r="C37" s="30" t="s">
        <v>38</v>
      </c>
      <c r="D37" s="15"/>
      <c r="E37" s="44">
        <v>20.193000000000001</v>
      </c>
      <c r="F37" s="37">
        <v>298.33035999999998</v>
      </c>
      <c r="G37" s="37"/>
      <c r="H37" s="37">
        <v>23.625</v>
      </c>
      <c r="I37" s="22"/>
      <c r="J37" s="47">
        <v>20193</v>
      </c>
      <c r="K37" s="47">
        <f t="shared" si="0"/>
        <v>20.193000000000001</v>
      </c>
      <c r="L37" s="43"/>
    </row>
    <row r="38" spans="1:12" s="1" customFormat="1" ht="15">
      <c r="A38" s="14"/>
      <c r="B38" s="29">
        <v>31</v>
      </c>
      <c r="C38" s="30" t="s">
        <v>39</v>
      </c>
      <c r="D38" s="15"/>
      <c r="E38" s="44">
        <v>14.397</v>
      </c>
      <c r="F38" s="37">
        <v>41.02</v>
      </c>
      <c r="G38" s="37"/>
      <c r="H38" s="37">
        <v>27.804000000000002</v>
      </c>
      <c r="I38" s="22"/>
      <c r="J38" s="47">
        <v>14397</v>
      </c>
      <c r="K38" s="47">
        <f t="shared" si="0"/>
        <v>14.397</v>
      </c>
      <c r="L38" s="43"/>
    </row>
    <row r="39" spans="1:12" s="1" customFormat="1" ht="15">
      <c r="A39" s="14"/>
      <c r="B39" s="29">
        <v>32</v>
      </c>
      <c r="C39" s="30" t="s">
        <v>40</v>
      </c>
      <c r="D39" s="15"/>
      <c r="E39" s="44">
        <v>0</v>
      </c>
      <c r="F39" s="37">
        <v>446.891706</v>
      </c>
      <c r="G39" s="37"/>
      <c r="H39" s="37">
        <v>19.215</v>
      </c>
      <c r="I39" s="22"/>
      <c r="J39" s="47">
        <v>0</v>
      </c>
      <c r="K39" s="47">
        <f t="shared" si="0"/>
        <v>0</v>
      </c>
      <c r="L39" s="43"/>
    </row>
    <row r="40" spans="1:12" s="1" customFormat="1" ht="15">
      <c r="A40" s="14"/>
      <c r="B40" s="29">
        <v>33</v>
      </c>
      <c r="C40" s="30" t="s">
        <v>41</v>
      </c>
      <c r="D40" s="15"/>
      <c r="E40" s="44">
        <v>468.20499999999998</v>
      </c>
      <c r="F40" s="37">
        <v>6221.139985400001</v>
      </c>
      <c r="G40" s="37"/>
      <c r="H40" s="37">
        <v>34.796999999999997</v>
      </c>
      <c r="I40" s="22"/>
      <c r="J40" s="47">
        <v>468205</v>
      </c>
      <c r="K40" s="47">
        <f t="shared" si="0"/>
        <v>468.20499999999998</v>
      </c>
      <c r="L40" s="43"/>
    </row>
    <row r="41" spans="1:12" s="1" customFormat="1" ht="15">
      <c r="A41" s="14"/>
      <c r="B41" s="29">
        <v>34</v>
      </c>
      <c r="C41" s="30" t="s">
        <v>42</v>
      </c>
      <c r="D41" s="15"/>
      <c r="E41" s="44">
        <v>26941.503000000001</v>
      </c>
      <c r="F41" s="37">
        <v>2486.6799999999998</v>
      </c>
      <c r="G41" s="37"/>
      <c r="H41" s="37">
        <v>28.035</v>
      </c>
      <c r="I41" s="22"/>
      <c r="J41" s="47">
        <v>26941503</v>
      </c>
      <c r="K41" s="47">
        <f t="shared" si="0"/>
        <v>26941.503000000001</v>
      </c>
      <c r="L41" s="43"/>
    </row>
    <row r="42" spans="1:12" s="1" customFormat="1" ht="15">
      <c r="A42" s="14"/>
      <c r="B42" s="29">
        <v>35</v>
      </c>
      <c r="C42" s="30" t="s">
        <v>43</v>
      </c>
      <c r="D42" s="15"/>
      <c r="E42" s="44">
        <v>99442.873999999996</v>
      </c>
      <c r="F42" s="37">
        <v>1229.9965</v>
      </c>
      <c r="G42" s="37"/>
      <c r="H42" s="37">
        <v>28.455000000000002</v>
      </c>
      <c r="I42" s="22"/>
      <c r="J42" s="47">
        <v>99442874</v>
      </c>
      <c r="K42" s="47">
        <f t="shared" si="0"/>
        <v>99442.873999999996</v>
      </c>
      <c r="L42" s="43"/>
    </row>
    <row r="43" spans="1:12" s="52" customFormat="1" ht="15">
      <c r="A43" s="48"/>
      <c r="B43" s="49"/>
      <c r="C43" s="50"/>
      <c r="D43" s="50"/>
      <c r="E43" s="66"/>
      <c r="F43" s="66"/>
      <c r="G43" s="66"/>
      <c r="H43" s="45"/>
      <c r="I43" s="51"/>
      <c r="J43" s="47"/>
      <c r="K43" s="47">
        <f>SUM(K8:K42)</f>
        <v>446277.15500000014</v>
      </c>
      <c r="L43" s="47"/>
    </row>
    <row r="44" spans="1:12" ht="6.75" customHeight="1">
      <c r="I44" s="23"/>
    </row>
    <row r="45" spans="1:12" ht="15.75">
      <c r="B45" s="16" t="s">
        <v>4</v>
      </c>
      <c r="C45" s="17"/>
      <c r="D45" s="13"/>
      <c r="G45" s="18"/>
      <c r="H45" s="38"/>
    </row>
    <row r="46" spans="1:12" ht="15">
      <c r="B46" s="13"/>
      <c r="C46" s="19"/>
      <c r="D46" s="32" t="s">
        <v>5</v>
      </c>
      <c r="E46" s="19"/>
      <c r="F46" s="19"/>
    </row>
    <row r="47" spans="1:12" s="27" customFormat="1" ht="15.75">
      <c r="A47" s="24"/>
      <c r="B47" s="13" t="s">
        <v>6</v>
      </c>
      <c r="C47" s="25"/>
      <c r="D47" s="26"/>
      <c r="E47" s="25"/>
      <c r="F47" s="25"/>
      <c r="H47" s="39"/>
      <c r="J47" s="39"/>
      <c r="K47" s="39"/>
      <c r="L47" s="39"/>
    </row>
    <row r="48" spans="1:12" ht="15.75">
      <c r="B48" s="13" t="s">
        <v>7</v>
      </c>
      <c r="C48" s="19"/>
      <c r="D48" s="14"/>
      <c r="E48" s="19"/>
      <c r="F48" s="19"/>
    </row>
    <row r="49" spans="2:8" ht="15.75">
      <c r="B49" s="13" t="s">
        <v>3</v>
      </c>
      <c r="C49" s="19"/>
      <c r="D49" s="14"/>
      <c r="E49" s="19"/>
      <c r="F49" s="19"/>
    </row>
    <row r="50" spans="2:8" ht="15.75">
      <c r="B50" s="13" t="s">
        <v>8</v>
      </c>
      <c r="C50" s="19"/>
      <c r="D50" s="14"/>
      <c r="E50" s="19"/>
      <c r="F50" s="19"/>
    </row>
    <row r="51" spans="2:8" ht="15">
      <c r="C51" s="19"/>
      <c r="G51" s="13"/>
      <c r="H51" s="40"/>
    </row>
    <row r="52" spans="2:8" ht="15">
      <c r="C52" s="19"/>
      <c r="G52" s="13"/>
      <c r="H52" s="40"/>
    </row>
    <row r="53" spans="2:8" ht="15">
      <c r="C53" s="19"/>
      <c r="G53" s="20"/>
      <c r="H53" s="41"/>
    </row>
    <row r="54" spans="2:8" ht="15">
      <c r="C54" s="19"/>
      <c r="G54" s="20"/>
      <c r="H54" s="41"/>
    </row>
    <row r="55" spans="2:8" ht="15">
      <c r="C55" s="19"/>
    </row>
    <row r="72" spans="4:4">
      <c r="D72" s="21"/>
    </row>
  </sheetData>
  <sheetProtection formatColumns="0"/>
  <mergeCells count="6">
    <mergeCell ref="B1:I1"/>
    <mergeCell ref="C6:D6"/>
    <mergeCell ref="E4:H4"/>
    <mergeCell ref="B4:B5"/>
    <mergeCell ref="C4:D5"/>
    <mergeCell ref="I4:I5"/>
  </mergeCells>
  <printOptions horizontalCentered="1"/>
  <pageMargins left="0.55000000000000004" right="7.7777777777777807E-2" top="0.74791666666666701" bottom="0.74791666666666701" header="0.31388888888888899" footer="0.31388888888888899"/>
  <pageSetup paperSize="9" scale="67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L-1</vt:lpstr>
      <vt:lpstr>'L-1'!Print_Area</vt:lpstr>
      <vt:lpstr>'L-1'!Print_Titles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 HARSO</dc:creator>
  <cp:lastModifiedBy>Desi</cp:lastModifiedBy>
  <cp:lastPrinted>2018-11-07T00:24:41Z</cp:lastPrinted>
  <dcterms:created xsi:type="dcterms:W3CDTF">2006-11-03T15:55:00Z</dcterms:created>
  <dcterms:modified xsi:type="dcterms:W3CDTF">2019-01-31T00:34:48Z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1033-10.1.0.5674</vt:lpwstr>
  </property>
</Properties>
</file>