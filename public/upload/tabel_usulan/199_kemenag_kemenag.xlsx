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610" windowHeight="11640" activeTab="5"/>
  </bookViews>
  <sheets>
    <sheet name="Tabel 4.3.3" sheetId="9" r:id="rId1"/>
    <sheet name="Tabel 4.3.4" sheetId="10" r:id="rId2"/>
    <sheet name="Tabel 4.3.5" sheetId="11" r:id="rId3"/>
    <sheet name="Tabel 4.3.6" sheetId="12" r:id="rId4"/>
    <sheet name="Tabel 4.3.7" sheetId="13" r:id="rId5"/>
    <sheet name="4.3.8" sheetId="15" r:id="rId6"/>
  </sheets>
  <definedNames>
    <definedName name="_xlnm.Print_Area" localSheetId="5">'4.3.8'!$A$1:$I$53</definedName>
    <definedName name="_xlnm.Print_Area" localSheetId="0">'Tabel 4.3.3'!$A$1:$N$52</definedName>
    <definedName name="_xlnm.Print_Area" localSheetId="1">'Tabel 4.3.4'!$A$1:$M$46</definedName>
    <definedName name="_xlnm.Print_Area" localSheetId="2">'Tabel 4.3.5'!$A$1:$I$53</definedName>
    <definedName name="_xlnm.Print_Area" localSheetId="4">'Tabel 4.3.7'!$A$1:$U$52</definedName>
  </definedNames>
  <calcPr calcId="124519"/>
</workbook>
</file>

<file path=xl/calcChain.xml><?xml version="1.0" encoding="utf-8"?>
<calcChain xmlns="http://schemas.openxmlformats.org/spreadsheetml/2006/main">
  <c r="F46" i="15"/>
  <c r="D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1" i="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V23" i="12"/>
  <c r="H46" i="15" l="1"/>
  <c r="H46" i="9"/>
  <c r="D45" i="13" l="1"/>
  <c r="L46" i="9" l="1"/>
  <c r="J46" l="1"/>
  <c r="R45" i="13" l="1"/>
  <c r="P45"/>
  <c r="N45"/>
  <c r="L45"/>
  <c r="J45"/>
  <c r="H45"/>
  <c r="F45"/>
  <c r="T44"/>
  <c r="T43"/>
  <c r="T42"/>
  <c r="T41"/>
  <c r="T40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T11"/>
  <c r="T10"/>
  <c r="T45" l="1"/>
  <c r="T46" i="12"/>
  <c r="R46"/>
  <c r="P46"/>
  <c r="N46"/>
  <c r="L46"/>
  <c r="J46"/>
  <c r="H46"/>
  <c r="F46"/>
  <c r="D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2"/>
  <c r="V21"/>
  <c r="V20"/>
  <c r="V19"/>
  <c r="V18"/>
  <c r="V17"/>
  <c r="V16"/>
  <c r="V15"/>
  <c r="V14"/>
  <c r="V13"/>
  <c r="V12"/>
  <c r="V11"/>
  <c r="V46" l="1"/>
  <c r="F46" i="11"/>
  <c r="D46"/>
  <c r="H46" l="1"/>
  <c r="L44" i="10"/>
  <c r="J44"/>
  <c r="H44"/>
  <c r="F44"/>
  <c r="D44"/>
  <c r="M46" i="9" l="1"/>
  <c r="F46"/>
  <c r="D46"/>
</calcChain>
</file>

<file path=xl/sharedStrings.xml><?xml version="1.0" encoding="utf-8"?>
<sst xmlns="http://schemas.openxmlformats.org/spreadsheetml/2006/main" count="598" uniqueCount="162">
  <si>
    <t>Tabel</t>
  </si>
  <si>
    <t>Table</t>
  </si>
  <si>
    <t>01.</t>
  </si>
  <si>
    <t>Kab. Cilacap</t>
  </si>
  <si>
    <t>02.</t>
  </si>
  <si>
    <t>Kab. Banyumas</t>
  </si>
  <si>
    <t>03.</t>
  </si>
  <si>
    <t>Kab. Purbalingga</t>
  </si>
  <si>
    <t>04.</t>
  </si>
  <si>
    <t>Kab. Banjarnegara</t>
  </si>
  <si>
    <t>05.</t>
  </si>
  <si>
    <t>Kab. Kebumen</t>
  </si>
  <si>
    <t>06.</t>
  </si>
  <si>
    <t>Kab. Purworejo</t>
  </si>
  <si>
    <t>07.</t>
  </si>
  <si>
    <t>Kab. Wonosobo</t>
  </si>
  <si>
    <t>08.</t>
  </si>
  <si>
    <t>Kab. Magelang</t>
  </si>
  <si>
    <t>09.</t>
  </si>
  <si>
    <t>Kab. Boyolali</t>
  </si>
  <si>
    <t>10.</t>
  </si>
  <si>
    <t>Kab. Klaten</t>
  </si>
  <si>
    <t>11.</t>
  </si>
  <si>
    <t>Kab. Sukoharjo</t>
  </si>
  <si>
    <t>12.</t>
  </si>
  <si>
    <t>Kab. Wonogiri</t>
  </si>
  <si>
    <t>13.</t>
  </si>
  <si>
    <t>Kab. Karanganyar</t>
  </si>
  <si>
    <t>14.</t>
  </si>
  <si>
    <t>Kab. Sragen</t>
  </si>
  <si>
    <t>15.</t>
  </si>
  <si>
    <t>Kab. Grobogan</t>
  </si>
  <si>
    <t>16.</t>
  </si>
  <si>
    <t>Kab. Blora</t>
  </si>
  <si>
    <t>17.</t>
  </si>
  <si>
    <t>Kab. Rembang</t>
  </si>
  <si>
    <t>18.</t>
  </si>
  <si>
    <t>Kab. Pati</t>
  </si>
  <si>
    <t>19.</t>
  </si>
  <si>
    <t>Kab. Kudus</t>
  </si>
  <si>
    <t>20.</t>
  </si>
  <si>
    <t>Kab. Jepara</t>
  </si>
  <si>
    <t>21.</t>
  </si>
  <si>
    <t>Kab. Demak</t>
  </si>
  <si>
    <t>22.</t>
  </si>
  <si>
    <t xml:space="preserve">Kab. Semarang </t>
  </si>
  <si>
    <t>23.</t>
  </si>
  <si>
    <t>Kab. Temanggung</t>
  </si>
  <si>
    <t>24.</t>
  </si>
  <si>
    <t>Kab. Kendal</t>
  </si>
  <si>
    <t>25.</t>
  </si>
  <si>
    <t>Kab. Batang</t>
  </si>
  <si>
    <t>26.</t>
  </si>
  <si>
    <t>Kab. Pekalongan</t>
  </si>
  <si>
    <t>27.</t>
  </si>
  <si>
    <t>Kab. Pemalang</t>
  </si>
  <si>
    <t>28.</t>
  </si>
  <si>
    <t>Kab. Tegal</t>
  </si>
  <si>
    <t>29.</t>
  </si>
  <si>
    <t>Kab. Brebes</t>
  </si>
  <si>
    <t>30.</t>
  </si>
  <si>
    <t>Kota Magelang</t>
  </si>
  <si>
    <t>31.</t>
  </si>
  <si>
    <t>Kota Surakarta</t>
  </si>
  <si>
    <t>32.</t>
  </si>
  <si>
    <t>Kota Salatiga</t>
  </si>
  <si>
    <t>33.</t>
  </si>
  <si>
    <t>Kota Semarang</t>
  </si>
  <si>
    <t>34.</t>
  </si>
  <si>
    <t>Kota Pekalongan</t>
  </si>
  <si>
    <t>35.</t>
  </si>
  <si>
    <t>Kota Tegal</t>
  </si>
  <si>
    <t>Regency/City</t>
  </si>
  <si>
    <t>(1)</t>
  </si>
  <si>
    <t>(2)</t>
  </si>
  <si>
    <t>(3)</t>
  </si>
  <si>
    <t>(4)</t>
  </si>
  <si>
    <t>(5)</t>
  </si>
  <si>
    <t>(6)</t>
  </si>
  <si>
    <t>Jumlah</t>
  </si>
  <si>
    <t>Total</t>
  </si>
  <si>
    <t xml:space="preserve">Kabupaten/Kota </t>
  </si>
  <si>
    <t>Pupil</t>
  </si>
  <si>
    <t>Swasta</t>
  </si>
  <si>
    <t xml:space="preserve"> </t>
  </si>
  <si>
    <t>(7)</t>
  </si>
  <si>
    <t>(8)</t>
  </si>
  <si>
    <t>(9)</t>
  </si>
  <si>
    <t>(10)</t>
  </si>
  <si>
    <r>
      <t>Jumlah/</t>
    </r>
    <r>
      <rPr>
        <i/>
        <sz val="8.6"/>
        <rFont val="Arial"/>
        <family val="2"/>
      </rPr>
      <t>Total</t>
    </r>
  </si>
  <si>
    <t>Kabupaten/Kota</t>
  </si>
  <si>
    <t>: 4.3.3</t>
  </si>
  <si>
    <t>Banyaknya Pondok Pesantren, Kyai Ustadz dan Santri</t>
  </si>
  <si>
    <t>Number of Islamic Courses, Leaders, Teachers and Pupils</t>
  </si>
  <si>
    <t>Pondok</t>
  </si>
  <si>
    <t>Kyai / Ustadz</t>
  </si>
  <si>
    <t>Santri</t>
  </si>
  <si>
    <t>Pesantren</t>
  </si>
  <si>
    <t>Islamic</t>
  </si>
  <si>
    <t>Leader</t>
  </si>
  <si>
    <t>Course</t>
  </si>
  <si>
    <t>: 4.3.4</t>
  </si>
  <si>
    <t>Banyaknya Jema'ah Haji yang Diberangkatkan ke Tanah Suci (Mekkah)</t>
  </si>
  <si>
    <t>Number of Pilgrims Departing to Mecca by Regency/City</t>
  </si>
  <si>
    <t>: 4.3.5</t>
  </si>
  <si>
    <t>Number of Pilgrims Departing to Mecca by Sex</t>
  </si>
  <si>
    <t>Jenis Kelamin</t>
  </si>
  <si>
    <t>Sex</t>
  </si>
  <si>
    <t>Laki-laki</t>
  </si>
  <si>
    <t>Wanita</t>
  </si>
  <si>
    <t>Male</t>
  </si>
  <si>
    <t>Female</t>
  </si>
  <si>
    <t>: 4.3.6</t>
  </si>
  <si>
    <t>Number of Pilgrims Departing to Mecca by Work</t>
  </si>
  <si>
    <t>Jenis Pekerjaan</t>
  </si>
  <si>
    <t>kind of Work</t>
  </si>
  <si>
    <t>PNS</t>
  </si>
  <si>
    <t>TNI/</t>
  </si>
  <si>
    <t>Pedagang</t>
  </si>
  <si>
    <t>Mahasiswa</t>
  </si>
  <si>
    <t>BUMN</t>
  </si>
  <si>
    <t>POLRI</t>
  </si>
  <si>
    <t>/Pelajar</t>
  </si>
  <si>
    <t>(11)</t>
  </si>
  <si>
    <t>: 4.3.7</t>
  </si>
  <si>
    <t>Number of Pilgrims Departing to Mecca by Education</t>
  </si>
  <si>
    <t>Pendidikan</t>
  </si>
  <si>
    <t>Education</t>
  </si>
  <si>
    <t>SD</t>
  </si>
  <si>
    <t>SMP</t>
  </si>
  <si>
    <t>SMA</t>
  </si>
  <si>
    <t>D3</t>
  </si>
  <si>
    <t>S1</t>
  </si>
  <si>
    <t>S2</t>
  </si>
  <si>
    <t>S3</t>
  </si>
  <si>
    <t>Lainnya</t>
  </si>
  <si>
    <t>Sumber : Kanwil Kementerian Agama Provinsi Jawa Tengah</t>
  </si>
  <si>
    <t>Badal Kyai</t>
  </si>
  <si>
    <t>Ustadz</t>
  </si>
  <si>
    <t>Jumlah/Total</t>
  </si>
  <si>
    <t>Source : Ministry of Religious Affairs of Central Java Province</t>
  </si>
  <si>
    <t>`</t>
  </si>
  <si>
    <t>Menurut Kabupaten/Kota di Jawa Tengah Tahun 2017</t>
  </si>
  <si>
    <t>by Regency/City in Jawa Tengah 2017</t>
  </si>
  <si>
    <t>Menurut Jenis Kelamin di Jawa Tengah Tahun 2017</t>
  </si>
  <si>
    <t>in Jawa Tengah 2017</t>
  </si>
  <si>
    <t>Menurut Jenis Pekerjaan di Jawa Tengah Tahun 2017</t>
  </si>
  <si>
    <t>Menurut Pendidikan di Jawa Tengah Tahun 2017</t>
  </si>
  <si>
    <t>Menurut Kabupaten/Kota di Jawa Tengah Tahun 2013 - 2017 (Orang)</t>
  </si>
  <si>
    <t>in Jawa Tengah 2013 - 2017 (People)</t>
  </si>
  <si>
    <t>Petani/ Nelayan</t>
  </si>
  <si>
    <t>Ibu RT</t>
  </si>
  <si>
    <t>Lain-lain (Pensiunan)</t>
  </si>
  <si>
    <t>: 4.3.8</t>
  </si>
  <si>
    <t>Menurut Status Haji di Jawa Tengah Tahun 2017</t>
  </si>
  <si>
    <t>Number of Pilgrims Departing to Mecca by Hajj Statue</t>
  </si>
  <si>
    <t>Status Haji</t>
  </si>
  <si>
    <t>Hajj Statue</t>
  </si>
  <si>
    <t>Belum</t>
  </si>
  <si>
    <t>Sudah</t>
  </si>
  <si>
    <t>Not Yet</t>
  </si>
  <si>
    <t>Done</t>
  </si>
</sst>
</file>

<file path=xl/styles.xml><?xml version="1.0" encoding="utf-8"?>
<styleSheet xmlns="http://schemas.openxmlformats.org/spreadsheetml/2006/main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9">
    <font>
      <sz val="12"/>
      <name val="Times New Roman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8.6"/>
      <name val="Times New Roman"/>
      <family val="1"/>
    </font>
    <font>
      <sz val="8.6"/>
      <name val="Arial"/>
      <family val="2"/>
    </font>
    <font>
      <i/>
      <sz val="8.6"/>
      <name val="Arial"/>
      <family val="2"/>
    </font>
    <font>
      <sz val="8.5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8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7" fillId="0" borderId="0"/>
    <xf numFmtId="4" fontId="7" fillId="4" borderId="0"/>
    <xf numFmtId="0" fontId="1" fillId="0" borderId="0"/>
  </cellStyleXfs>
  <cellXfs count="91">
    <xf numFmtId="0" fontId="0" fillId="0" borderId="0" xfId="0"/>
    <xf numFmtId="164" fontId="4" fillId="0" borderId="2" xfId="1" applyNumberFormat="1" applyFont="1" applyBorder="1" applyAlignment="1">
      <alignment vertical="center"/>
    </xf>
    <xf numFmtId="164" fontId="4" fillId="0" borderId="2" xfId="1" applyNumberFormat="1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4" fillId="0" borderId="0" xfId="2" quotePrefix="1" applyFont="1" applyAlignment="1">
      <alignment horizontal="left" vertical="center"/>
    </xf>
    <xf numFmtId="0" fontId="3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4" fillId="0" borderId="2" xfId="2" applyFont="1" applyBorder="1" applyAlignment="1">
      <alignment vertical="center"/>
    </xf>
    <xf numFmtId="0" fontId="4" fillId="2" borderId="0" xfId="2" applyFont="1" applyFill="1" applyAlignment="1">
      <alignment vertical="center"/>
    </xf>
    <xf numFmtId="0" fontId="4" fillId="0" borderId="0" xfId="2" applyFont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2" borderId="2" xfId="2" applyFont="1" applyFill="1" applyBorder="1" applyAlignment="1">
      <alignment vertical="center"/>
    </xf>
    <xf numFmtId="0" fontId="5" fillId="0" borderId="0" xfId="2" quotePrefix="1" applyFont="1" applyAlignment="1">
      <alignment horizontal="left" vertical="center"/>
    </xf>
    <xf numFmtId="0" fontId="2" fillId="0" borderId="0" xfId="2"/>
    <xf numFmtId="41" fontId="4" fillId="0" borderId="2" xfId="2" applyNumberFormat="1" applyFont="1" applyBorder="1" applyAlignment="1">
      <alignment vertical="center"/>
    </xf>
    <xf numFmtId="41" fontId="4" fillId="0" borderId="0" xfId="2" applyNumberFormat="1" applyFont="1" applyAlignment="1">
      <alignment vertical="center"/>
    </xf>
    <xf numFmtId="0" fontId="4" fillId="0" borderId="0" xfId="2" applyFont="1" applyBorder="1" applyAlignment="1">
      <alignment vertical="center"/>
    </xf>
    <xf numFmtId="0" fontId="6" fillId="0" borderId="0" xfId="2" applyFont="1" applyAlignment="1">
      <alignment vertical="center"/>
    </xf>
    <xf numFmtId="0" fontId="4" fillId="0" borderId="2" xfId="2" quotePrefix="1" applyFont="1" applyBorder="1" applyAlignment="1">
      <alignment horizontal="left" vertical="center"/>
    </xf>
    <xf numFmtId="0" fontId="4" fillId="0" borderId="2" xfId="2" quotePrefix="1" applyFont="1" applyBorder="1" applyAlignment="1">
      <alignment horizontal="center" vertical="center"/>
    </xf>
    <xf numFmtId="164" fontId="4" fillId="0" borderId="4" xfId="1" applyNumberFormat="1" applyFont="1" applyBorder="1" applyAlignment="1">
      <alignment vertical="center"/>
    </xf>
    <xf numFmtId="164" fontId="4" fillId="0" borderId="0" xfId="1" applyNumberFormat="1" applyFont="1" applyBorder="1" applyAlignment="1">
      <alignment vertical="center"/>
    </xf>
    <xf numFmtId="3" fontId="4" fillId="0" borderId="0" xfId="2" applyNumberFormat="1" applyFont="1" applyAlignment="1">
      <alignment vertical="center"/>
    </xf>
    <xf numFmtId="3" fontId="4" fillId="0" borderId="2" xfId="2" applyNumberFormat="1" applyFont="1" applyBorder="1" applyAlignment="1">
      <alignment vertical="center"/>
    </xf>
    <xf numFmtId="0" fontId="4" fillId="0" borderId="0" xfId="2" quotePrefix="1" applyFont="1" applyAlignment="1">
      <alignment horizontal="center" vertical="center"/>
    </xf>
    <xf numFmtId="0" fontId="5" fillId="0" borderId="0" xfId="2" quotePrefix="1" applyFont="1" applyAlignment="1">
      <alignment horizontal="center" vertical="center"/>
    </xf>
    <xf numFmtId="0" fontId="8" fillId="0" borderId="0" xfId="2" applyFont="1" applyBorder="1" applyAlignment="1">
      <alignment horizontal="center" vertical="center"/>
    </xf>
    <xf numFmtId="0" fontId="8" fillId="0" borderId="0" xfId="2" applyFont="1" applyBorder="1" applyAlignment="1">
      <alignment vertical="center"/>
    </xf>
    <xf numFmtId="41" fontId="8" fillId="0" borderId="0" xfId="2" applyNumberFormat="1" applyFont="1" applyBorder="1" applyAlignment="1">
      <alignment vertical="center"/>
    </xf>
    <xf numFmtId="0" fontId="8" fillId="0" borderId="2" xfId="2" applyFont="1" applyBorder="1" applyAlignment="1">
      <alignment horizontal="center" vertical="center"/>
    </xf>
    <xf numFmtId="0" fontId="8" fillId="0" borderId="2" xfId="2" applyFont="1" applyBorder="1" applyAlignment="1">
      <alignment vertical="center"/>
    </xf>
    <xf numFmtId="41" fontId="8" fillId="0" borderId="2" xfId="2" applyNumberFormat="1" applyFont="1" applyBorder="1" applyAlignment="1">
      <alignment vertical="center"/>
    </xf>
    <xf numFmtId="0" fontId="8" fillId="0" borderId="4" xfId="2" applyFont="1" applyBorder="1" applyAlignment="1">
      <alignment vertical="center"/>
    </xf>
    <xf numFmtId="3" fontId="8" fillId="0" borderId="4" xfId="0" applyNumberFormat="1" applyFont="1" applyBorder="1" applyAlignment="1">
      <alignment horizontal="right"/>
    </xf>
    <xf numFmtId="3" fontId="8" fillId="0" borderId="0" xfId="0" applyNumberFormat="1" applyFont="1" applyBorder="1" applyAlignment="1">
      <alignment horizontal="right"/>
    </xf>
    <xf numFmtId="3" fontId="8" fillId="0" borderId="0" xfId="1" applyNumberFormat="1" applyFont="1" applyBorder="1" applyAlignment="1">
      <alignment horizontal="right"/>
    </xf>
    <xf numFmtId="3" fontId="8" fillId="0" borderId="0" xfId="0" applyNumberFormat="1" applyFont="1" applyBorder="1" applyAlignment="1">
      <alignment horizontal="right" vertical="center"/>
    </xf>
    <xf numFmtId="3" fontId="8" fillId="3" borderId="0" xfId="0" applyNumberFormat="1" applyFont="1" applyFill="1" applyBorder="1" applyAlignment="1">
      <alignment horizontal="right"/>
    </xf>
    <xf numFmtId="3" fontId="8" fillId="0" borderId="2" xfId="0" applyNumberFormat="1" applyFont="1" applyBorder="1" applyAlignment="1">
      <alignment horizontal="right"/>
    </xf>
    <xf numFmtId="0" fontId="4" fillId="0" borderId="0" xfId="2" quotePrefix="1" applyFont="1" applyFill="1" applyAlignment="1">
      <alignment horizontal="left" vertical="center"/>
    </xf>
    <xf numFmtId="0" fontId="3" fillId="0" borderId="0" xfId="2" applyFont="1" applyFill="1" applyAlignment="1">
      <alignment vertical="center"/>
    </xf>
    <xf numFmtId="0" fontId="4" fillId="0" borderId="0" xfId="2" quotePrefix="1" applyFont="1" applyFill="1" applyBorder="1" applyAlignment="1">
      <alignment horizontal="center" vertical="center"/>
    </xf>
    <xf numFmtId="41" fontId="4" fillId="0" borderId="0" xfId="2" applyNumberFormat="1" applyFont="1" applyFill="1" applyAlignment="1">
      <alignment vertical="center"/>
    </xf>
    <xf numFmtId="0" fontId="4" fillId="0" borderId="7" xfId="2" quotePrefix="1" applyFont="1" applyFill="1" applyBorder="1" applyAlignment="1">
      <alignment horizontal="center" vertical="center"/>
    </xf>
    <xf numFmtId="0" fontId="4" fillId="0" borderId="7" xfId="2" quotePrefix="1" applyFont="1" applyFill="1" applyBorder="1" applyAlignment="1">
      <alignment horizontal="left" vertical="center"/>
    </xf>
    <xf numFmtId="41" fontId="4" fillId="0" borderId="7" xfId="2" applyNumberFormat="1" applyFont="1" applyFill="1" applyBorder="1" applyAlignment="1">
      <alignment vertical="center"/>
    </xf>
    <xf numFmtId="0" fontId="3" fillId="0" borderId="0" xfId="2" applyFont="1" applyAlignment="1">
      <alignment horizontal="center" vertical="center"/>
    </xf>
    <xf numFmtId="0" fontId="4" fillId="0" borderId="7" xfId="2" applyFont="1" applyBorder="1" applyAlignment="1">
      <alignment vertical="center"/>
    </xf>
    <xf numFmtId="0" fontId="4" fillId="0" borderId="0" xfId="2" applyFont="1" applyFill="1" applyBorder="1" applyAlignment="1">
      <alignment horizontal="center" vertical="center"/>
    </xf>
    <xf numFmtId="41" fontId="4" fillId="0" borderId="0" xfId="2" applyNumberFormat="1" applyFont="1" applyFill="1" applyBorder="1" applyAlignment="1">
      <alignment vertical="center"/>
    </xf>
    <xf numFmtId="41" fontId="4" fillId="0" borderId="4" xfId="2" applyNumberFormat="1" applyFont="1" applyFill="1" applyBorder="1" applyAlignment="1">
      <alignment vertical="center"/>
    </xf>
    <xf numFmtId="0" fontId="4" fillId="0" borderId="7" xfId="2" applyFont="1" applyFill="1" applyBorder="1" applyAlignment="1">
      <alignment vertical="center"/>
    </xf>
    <xf numFmtId="0" fontId="5" fillId="0" borderId="0" xfId="2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4" fillId="0" borderId="2" xfId="2" applyFont="1" applyFill="1" applyBorder="1" applyAlignment="1">
      <alignment horizontal="center" vertical="center"/>
    </xf>
    <xf numFmtId="0" fontId="4" fillId="0" borderId="0" xfId="2" applyFont="1" applyFill="1" applyAlignment="1">
      <alignment vertical="center"/>
    </xf>
    <xf numFmtId="0" fontId="4" fillId="0" borderId="2" xfId="2" applyFont="1" applyFill="1" applyBorder="1" applyAlignment="1">
      <alignment vertical="center"/>
    </xf>
    <xf numFmtId="3" fontId="4" fillId="0" borderId="0" xfId="2" applyNumberFormat="1" applyFont="1" applyFill="1" applyAlignment="1">
      <alignment vertical="center"/>
    </xf>
    <xf numFmtId="0" fontId="4" fillId="0" borderId="2" xfId="2" quotePrefix="1" applyFont="1" applyFill="1" applyBorder="1" applyAlignment="1">
      <alignment horizontal="center" vertical="center"/>
    </xf>
    <xf numFmtId="0" fontId="4" fillId="0" borderId="2" xfId="2" quotePrefix="1" applyFont="1" applyFill="1" applyBorder="1" applyAlignment="1">
      <alignment horizontal="left" vertical="center"/>
    </xf>
    <xf numFmtId="41" fontId="4" fillId="0" borderId="2" xfId="2" applyNumberFormat="1" applyFont="1" applyFill="1" applyBorder="1" applyAlignment="1">
      <alignment vertical="center"/>
    </xf>
    <xf numFmtId="0" fontId="3" fillId="0" borderId="0" xfId="2" applyFont="1" applyFill="1" applyAlignment="1">
      <alignment horizontal="center" vertical="center"/>
    </xf>
    <xf numFmtId="41" fontId="4" fillId="0" borderId="0" xfId="2" applyNumberFormat="1" applyFont="1" applyFill="1" applyAlignment="1">
      <alignment horizontal="left" vertical="top"/>
    </xf>
    <xf numFmtId="0" fontId="4" fillId="0" borderId="4" xfId="2" applyFont="1" applyFill="1" applyBorder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4" fillId="0" borderId="0" xfId="2" quotePrefix="1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/>
    </xf>
    <xf numFmtId="0" fontId="4" fillId="0" borderId="4" xfId="2" quotePrefix="1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4" fillId="0" borderId="2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0" fontId="4" fillId="0" borderId="4" xfId="2" quotePrefix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/>
    </xf>
    <xf numFmtId="0" fontId="4" fillId="0" borderId="0" xfId="2" quotePrefix="1" applyFont="1" applyFill="1" applyBorder="1" applyAlignment="1">
      <alignment horizontal="center" vertical="center"/>
    </xf>
    <xf numFmtId="0" fontId="4" fillId="0" borderId="7" xfId="2" quotePrefix="1" applyFont="1" applyFill="1" applyBorder="1" applyAlignment="1">
      <alignment horizontal="center" vertical="center"/>
    </xf>
    <xf numFmtId="0" fontId="4" fillId="0" borderId="0" xfId="2" quotePrefix="1" applyFont="1" applyAlignment="1">
      <alignment horizontal="center" vertical="center"/>
    </xf>
    <xf numFmtId="0" fontId="5" fillId="0" borderId="0" xfId="2" quotePrefix="1" applyFont="1" applyAlignment="1">
      <alignment horizontal="center" vertical="center"/>
    </xf>
    <xf numFmtId="0" fontId="5" fillId="0" borderId="0" xfId="2" quotePrefix="1" applyFont="1" applyBorder="1" applyAlignment="1">
      <alignment horizontal="center" vertical="center"/>
    </xf>
    <xf numFmtId="0" fontId="4" fillId="0" borderId="3" xfId="2" quotePrefix="1" applyFont="1" applyFill="1" applyBorder="1" applyAlignment="1">
      <alignment horizontal="center" vertical="center"/>
    </xf>
    <xf numFmtId="0" fontId="4" fillId="0" borderId="6" xfId="2" quotePrefix="1" applyFont="1" applyFill="1" applyBorder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center" vertical="center"/>
    </xf>
    <xf numFmtId="0" fontId="5" fillId="0" borderId="0" xfId="2" applyFont="1" applyFill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</cellXfs>
  <cellStyles count="6">
    <cellStyle name="Comma" xfId="1" builtinId="3"/>
    <cellStyle name="Comma 2" xfId="4"/>
    <cellStyle name="Normal" xfId="0" builtinId="0"/>
    <cellStyle name="Normal 2" xfId="2"/>
    <cellStyle name="Normal 2 2" xfId="3"/>
    <cellStyle name="Normal 5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52"/>
  <sheetViews>
    <sheetView view="pageBreakPreview" zoomScaleSheetLayoutView="100" workbookViewId="0">
      <selection activeCell="F39" sqref="F39"/>
    </sheetView>
  </sheetViews>
  <sheetFormatPr defaultRowHeight="15.75"/>
  <cols>
    <col min="1" max="1" width="3.875" style="14" customWidth="1"/>
    <col min="2" max="2" width="6.375" style="14" customWidth="1"/>
    <col min="3" max="3" width="9.125" style="14" customWidth="1"/>
    <col min="4" max="4" width="10.125" style="14" customWidth="1"/>
    <col min="5" max="5" width="6.875" style="14" customWidth="1"/>
    <col min="6" max="6" width="8.625" style="14" customWidth="1"/>
    <col min="7" max="7" width="4.25" style="14" customWidth="1"/>
    <col min="8" max="8" width="8.625" style="14" customWidth="1"/>
    <col min="9" max="9" width="4.25" style="14" customWidth="1"/>
    <col min="10" max="10" width="8.625" style="14" customWidth="1"/>
    <col min="11" max="11" width="4.25" style="14" customWidth="1"/>
    <col min="12" max="12" width="11.5" style="14" customWidth="1"/>
    <col min="13" max="13" width="9" style="14" customWidth="1"/>
    <col min="14" max="14" width="4.375" style="14" customWidth="1"/>
    <col min="15" max="15" width="9" style="14"/>
    <col min="16" max="16" width="1.625" style="14" customWidth="1"/>
    <col min="17" max="17" width="9.125" style="14" bestFit="1" customWidth="1"/>
    <col min="18" max="16384" width="9" style="14"/>
  </cols>
  <sheetData>
    <row r="1" spans="1:15" s="5" customFormat="1" ht="11.25">
      <c r="A1" s="3" t="s">
        <v>0</v>
      </c>
      <c r="B1" s="4" t="s">
        <v>91</v>
      </c>
      <c r="C1" s="81" t="s">
        <v>92</v>
      </c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spans="1:15" s="5" customFormat="1" ht="11.25">
      <c r="A2" s="6" t="s">
        <v>1</v>
      </c>
      <c r="B2" s="7"/>
      <c r="C2" s="81" t="s">
        <v>142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spans="1:15" s="5" customFormat="1" ht="11.25">
      <c r="A3" s="7"/>
      <c r="B3" s="7"/>
      <c r="C3" s="82" t="s">
        <v>93</v>
      </c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</row>
    <row r="4" spans="1:15" s="5" customFormat="1" ht="11.25">
      <c r="A4" s="17"/>
      <c r="B4" s="17"/>
      <c r="C4" s="83" t="s">
        <v>143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</row>
    <row r="5" spans="1:15" s="5" customFormat="1" ht="12" thickBot="1">
      <c r="A5" s="52"/>
      <c r="B5" s="52"/>
      <c r="C5" s="45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</row>
    <row r="6" spans="1:15" s="5" customFormat="1" ht="12" thickTop="1">
      <c r="A6" s="78"/>
      <c r="B6" s="78"/>
      <c r="C6" s="78"/>
      <c r="D6" s="78" t="s">
        <v>94</v>
      </c>
      <c r="E6" s="78"/>
      <c r="F6" s="78" t="s">
        <v>95</v>
      </c>
      <c r="G6" s="78"/>
      <c r="H6" s="78" t="s">
        <v>137</v>
      </c>
      <c r="I6" s="78"/>
      <c r="J6" s="78" t="s">
        <v>138</v>
      </c>
      <c r="K6" s="78"/>
      <c r="L6" s="49"/>
      <c r="M6" s="78" t="s">
        <v>96</v>
      </c>
      <c r="N6" s="78"/>
      <c r="O6" s="41"/>
    </row>
    <row r="7" spans="1:15" s="5" customFormat="1" ht="11.25">
      <c r="A7" s="78" t="s">
        <v>90</v>
      </c>
      <c r="B7" s="78"/>
      <c r="C7" s="78"/>
      <c r="D7" s="78" t="s">
        <v>97</v>
      </c>
      <c r="E7" s="78"/>
      <c r="F7" s="74" t="s">
        <v>98</v>
      </c>
      <c r="G7" s="74"/>
      <c r="H7" s="74" t="s">
        <v>98</v>
      </c>
      <c r="I7" s="74"/>
      <c r="J7" s="74" t="s">
        <v>98</v>
      </c>
      <c r="K7" s="74"/>
      <c r="L7" s="53" t="s">
        <v>139</v>
      </c>
      <c r="M7" s="74" t="s">
        <v>98</v>
      </c>
      <c r="N7" s="74"/>
      <c r="O7" s="41"/>
    </row>
    <row r="8" spans="1:15" s="5" customFormat="1" ht="11.25">
      <c r="A8" s="74" t="s">
        <v>72</v>
      </c>
      <c r="B8" s="74"/>
      <c r="C8" s="74"/>
      <c r="D8" s="74" t="s">
        <v>98</v>
      </c>
      <c r="E8" s="74"/>
      <c r="F8" s="74" t="s">
        <v>99</v>
      </c>
      <c r="G8" s="74"/>
      <c r="H8" s="74" t="s">
        <v>99</v>
      </c>
      <c r="I8" s="74"/>
      <c r="J8" s="74" t="s">
        <v>99</v>
      </c>
      <c r="K8" s="74"/>
      <c r="L8" s="53"/>
      <c r="M8" s="74" t="s">
        <v>82</v>
      </c>
      <c r="N8" s="74"/>
      <c r="O8" s="41"/>
    </row>
    <row r="9" spans="1:15" s="5" customFormat="1" ht="11.25">
      <c r="A9" s="74"/>
      <c r="B9" s="74"/>
      <c r="C9" s="74"/>
      <c r="D9" s="76" t="s">
        <v>100</v>
      </c>
      <c r="E9" s="76"/>
      <c r="F9" s="54"/>
      <c r="G9" s="54"/>
      <c r="H9" s="54"/>
      <c r="I9" s="54"/>
      <c r="J9" s="54"/>
      <c r="K9" s="54"/>
      <c r="L9" s="54"/>
      <c r="M9" s="54"/>
      <c r="N9" s="54"/>
      <c r="O9" s="41"/>
    </row>
    <row r="10" spans="1:15" s="5" customFormat="1" ht="12" thickBot="1">
      <c r="A10" s="77" t="s">
        <v>73</v>
      </c>
      <c r="B10" s="77"/>
      <c r="C10" s="77"/>
      <c r="D10" s="73" t="s">
        <v>74</v>
      </c>
      <c r="E10" s="73"/>
      <c r="F10" s="73" t="s">
        <v>75</v>
      </c>
      <c r="G10" s="73"/>
      <c r="H10" s="73" t="s">
        <v>75</v>
      </c>
      <c r="I10" s="73"/>
      <c r="J10" s="73" t="s">
        <v>75</v>
      </c>
      <c r="K10" s="73"/>
      <c r="L10" s="55"/>
      <c r="M10" s="73" t="s">
        <v>76</v>
      </c>
      <c r="N10" s="73"/>
      <c r="O10" s="41"/>
    </row>
    <row r="11" spans="1:15" s="5" customFormat="1" ht="12.75" customHeight="1">
      <c r="A11" s="27" t="s">
        <v>2</v>
      </c>
      <c r="B11" s="28" t="s">
        <v>3</v>
      </c>
      <c r="C11" s="28"/>
      <c r="D11" s="29"/>
      <c r="E11" s="29"/>
      <c r="F11" s="29"/>
      <c r="H11" s="29"/>
      <c r="I11" s="33"/>
      <c r="J11" s="34"/>
      <c r="K11" s="29"/>
      <c r="L11" s="29"/>
      <c r="M11" s="29"/>
      <c r="N11" s="29"/>
    </row>
    <row r="12" spans="1:15" s="5" customFormat="1" ht="12.75" customHeight="1">
      <c r="A12" s="27" t="s">
        <v>4</v>
      </c>
      <c r="B12" s="28" t="s">
        <v>5</v>
      </c>
      <c r="C12" s="28"/>
      <c r="D12" s="29"/>
      <c r="E12" s="29"/>
      <c r="F12" s="29"/>
      <c r="H12" s="29"/>
      <c r="I12" s="28"/>
      <c r="J12" s="35"/>
      <c r="K12" s="29"/>
      <c r="L12" s="29"/>
      <c r="M12" s="29"/>
      <c r="N12" s="29"/>
    </row>
    <row r="13" spans="1:15" s="5" customFormat="1" ht="12.75" customHeight="1">
      <c r="A13" s="27" t="s">
        <v>6</v>
      </c>
      <c r="B13" s="28" t="s">
        <v>7</v>
      </c>
      <c r="C13" s="28"/>
      <c r="D13" s="29"/>
      <c r="E13" s="29"/>
      <c r="F13" s="29"/>
      <c r="H13" s="29"/>
      <c r="I13" s="28"/>
      <c r="J13" s="36"/>
      <c r="K13" s="29"/>
      <c r="L13" s="29"/>
      <c r="M13" s="29"/>
      <c r="N13" s="29"/>
    </row>
    <row r="14" spans="1:15" s="5" customFormat="1" ht="12.75" customHeight="1">
      <c r="A14" s="27" t="s">
        <v>8</v>
      </c>
      <c r="B14" s="28" t="s">
        <v>9</v>
      </c>
      <c r="C14" s="28"/>
      <c r="D14" s="29"/>
      <c r="E14" s="29"/>
      <c r="F14" s="29"/>
      <c r="H14" s="29"/>
      <c r="I14" s="28"/>
      <c r="J14" s="35"/>
      <c r="K14" s="29"/>
      <c r="L14" s="29"/>
      <c r="M14" s="29"/>
      <c r="N14" s="29"/>
    </row>
    <row r="15" spans="1:15" s="5" customFormat="1" ht="12.75" customHeight="1">
      <c r="A15" s="27" t="s">
        <v>10</v>
      </c>
      <c r="B15" s="28" t="s">
        <v>11</v>
      </c>
      <c r="C15" s="28"/>
      <c r="D15" s="29"/>
      <c r="E15" s="29"/>
      <c r="F15" s="29"/>
      <c r="H15" s="29"/>
      <c r="I15" s="28"/>
      <c r="J15" s="35"/>
      <c r="K15" s="29"/>
      <c r="L15" s="29"/>
      <c r="M15" s="29"/>
      <c r="N15" s="29"/>
    </row>
    <row r="16" spans="1:15" s="5" customFormat="1" ht="12.75" customHeight="1">
      <c r="A16" s="27" t="s">
        <v>12</v>
      </c>
      <c r="B16" s="28" t="s">
        <v>13</v>
      </c>
      <c r="C16" s="28"/>
      <c r="D16" s="29"/>
      <c r="E16" s="29"/>
      <c r="F16" s="29"/>
      <c r="H16" s="29"/>
      <c r="I16" s="28"/>
      <c r="J16" s="35"/>
      <c r="K16" s="29"/>
      <c r="L16" s="29"/>
      <c r="M16" s="29"/>
      <c r="N16" s="29"/>
    </row>
    <row r="17" spans="1:14" s="5" customFormat="1" ht="12.75" customHeight="1">
      <c r="A17" s="27" t="s">
        <v>14</v>
      </c>
      <c r="B17" s="28" t="s">
        <v>15</v>
      </c>
      <c r="C17" s="28"/>
      <c r="D17" s="29"/>
      <c r="E17" s="29"/>
      <c r="F17" s="29"/>
      <c r="H17" s="29"/>
      <c r="I17" s="28"/>
      <c r="J17" s="35"/>
      <c r="K17" s="29"/>
      <c r="L17" s="29"/>
      <c r="M17" s="29"/>
      <c r="N17" s="29"/>
    </row>
    <row r="18" spans="1:14" s="5" customFormat="1" ht="12.75" customHeight="1">
      <c r="A18" s="27" t="s">
        <v>16</v>
      </c>
      <c r="B18" s="28" t="s">
        <v>17</v>
      </c>
      <c r="C18" s="28"/>
      <c r="D18" s="29"/>
      <c r="E18" s="29"/>
      <c r="F18" s="29"/>
      <c r="H18" s="29"/>
      <c r="I18" s="28"/>
      <c r="J18" s="35"/>
      <c r="K18" s="29"/>
      <c r="L18" s="29"/>
      <c r="M18" s="29"/>
      <c r="N18" s="29"/>
    </row>
    <row r="19" spans="1:14" s="5" customFormat="1" ht="12.75" customHeight="1">
      <c r="A19" s="27" t="s">
        <v>18</v>
      </c>
      <c r="B19" s="28" t="s">
        <v>19</v>
      </c>
      <c r="C19" s="28"/>
      <c r="D19" s="29"/>
      <c r="E19" s="29"/>
      <c r="F19" s="29"/>
      <c r="H19" s="29"/>
      <c r="I19" s="28"/>
      <c r="J19" s="37"/>
      <c r="K19" s="29"/>
      <c r="L19" s="29"/>
      <c r="M19" s="29"/>
      <c r="N19" s="29"/>
    </row>
    <row r="20" spans="1:14" s="5" customFormat="1" ht="12.75" customHeight="1">
      <c r="A20" s="27" t="s">
        <v>20</v>
      </c>
      <c r="B20" s="28" t="s">
        <v>21</v>
      </c>
      <c r="C20" s="28"/>
      <c r="D20" s="29"/>
      <c r="E20" s="29"/>
      <c r="F20" s="29"/>
      <c r="H20" s="29"/>
      <c r="I20" s="28"/>
      <c r="J20" s="37"/>
      <c r="K20" s="29"/>
      <c r="L20" s="29"/>
      <c r="M20" s="29"/>
      <c r="N20" s="29"/>
    </row>
    <row r="21" spans="1:14" s="5" customFormat="1" ht="12.75" customHeight="1">
      <c r="A21" s="27" t="s">
        <v>22</v>
      </c>
      <c r="B21" s="28" t="s">
        <v>23</v>
      </c>
      <c r="C21" s="28"/>
      <c r="D21" s="29"/>
      <c r="E21" s="29"/>
      <c r="F21" s="29"/>
      <c r="H21" s="29"/>
      <c r="I21" s="28"/>
      <c r="J21" s="38"/>
      <c r="K21" s="29"/>
      <c r="L21" s="29"/>
      <c r="M21" s="29"/>
      <c r="N21" s="29"/>
    </row>
    <row r="22" spans="1:14" s="5" customFormat="1" ht="12.75" customHeight="1">
      <c r="A22" s="27" t="s">
        <v>24</v>
      </c>
      <c r="B22" s="28" t="s">
        <v>25</v>
      </c>
      <c r="C22" s="28"/>
      <c r="D22" s="29"/>
      <c r="E22" s="29"/>
      <c r="F22" s="29"/>
      <c r="H22" s="29"/>
      <c r="I22" s="28"/>
      <c r="J22" s="35"/>
      <c r="K22" s="29"/>
      <c r="L22" s="29"/>
      <c r="M22" s="29"/>
      <c r="N22" s="29"/>
    </row>
    <row r="23" spans="1:14" s="5" customFormat="1" ht="12.75" customHeight="1">
      <c r="A23" s="27" t="s">
        <v>26</v>
      </c>
      <c r="B23" s="28" t="s">
        <v>27</v>
      </c>
      <c r="C23" s="28"/>
      <c r="D23" s="29"/>
      <c r="E23" s="29"/>
      <c r="F23" s="29"/>
      <c r="H23" s="29"/>
      <c r="I23" s="28"/>
      <c r="J23" s="35"/>
      <c r="K23" s="29"/>
      <c r="L23" s="29"/>
      <c r="M23" s="29"/>
      <c r="N23" s="29"/>
    </row>
    <row r="24" spans="1:14" s="5" customFormat="1" ht="12.75" customHeight="1">
      <c r="A24" s="27" t="s">
        <v>28</v>
      </c>
      <c r="B24" s="28" t="s">
        <v>29</v>
      </c>
      <c r="C24" s="28"/>
      <c r="D24" s="29"/>
      <c r="E24" s="29"/>
      <c r="F24" s="29"/>
      <c r="H24" s="29"/>
      <c r="I24" s="28"/>
      <c r="J24" s="35"/>
      <c r="K24" s="29"/>
      <c r="L24" s="29"/>
      <c r="M24" s="29"/>
      <c r="N24" s="29"/>
    </row>
    <row r="25" spans="1:14" s="5" customFormat="1" ht="12.75" customHeight="1">
      <c r="A25" s="27" t="s">
        <v>30</v>
      </c>
      <c r="B25" s="28" t="s">
        <v>31</v>
      </c>
      <c r="C25" s="28"/>
      <c r="D25" s="29"/>
      <c r="E25" s="29"/>
      <c r="F25" s="29"/>
      <c r="H25" s="29"/>
      <c r="I25" s="28"/>
      <c r="J25" s="35"/>
      <c r="K25" s="29"/>
      <c r="L25" s="29"/>
      <c r="M25" s="29"/>
      <c r="N25" s="29"/>
    </row>
    <row r="26" spans="1:14" s="5" customFormat="1" ht="12.75" customHeight="1">
      <c r="A26" s="27" t="s">
        <v>32</v>
      </c>
      <c r="B26" s="28" t="s">
        <v>33</v>
      </c>
      <c r="C26" s="28"/>
      <c r="D26" s="29"/>
      <c r="E26" s="29"/>
      <c r="F26" s="29"/>
      <c r="H26" s="29"/>
      <c r="I26" s="28"/>
      <c r="J26" s="35"/>
      <c r="K26" s="29"/>
      <c r="L26" s="29"/>
      <c r="M26" s="29"/>
      <c r="N26" s="29"/>
    </row>
    <row r="27" spans="1:14" s="5" customFormat="1" ht="12.75" customHeight="1">
      <c r="A27" s="27" t="s">
        <v>34</v>
      </c>
      <c r="B27" s="28" t="s">
        <v>35</v>
      </c>
      <c r="C27" s="28"/>
      <c r="D27" s="29"/>
      <c r="E27" s="29"/>
      <c r="F27" s="29"/>
      <c r="H27" s="29"/>
      <c r="I27" s="28"/>
      <c r="J27" s="35"/>
      <c r="K27" s="29"/>
      <c r="L27" s="29"/>
      <c r="M27" s="29"/>
      <c r="N27" s="29"/>
    </row>
    <row r="28" spans="1:14" s="5" customFormat="1" ht="12.75" customHeight="1">
      <c r="A28" s="27" t="s">
        <v>36</v>
      </c>
      <c r="B28" s="28" t="s">
        <v>37</v>
      </c>
      <c r="C28" s="28"/>
      <c r="D28" s="29"/>
      <c r="E28" s="29"/>
      <c r="F28" s="29"/>
      <c r="H28" s="29"/>
      <c r="I28" s="28"/>
      <c r="J28" s="35"/>
      <c r="K28" s="29"/>
      <c r="L28" s="29"/>
      <c r="M28" s="29"/>
      <c r="N28" s="29"/>
    </row>
    <row r="29" spans="1:14" s="5" customFormat="1" ht="12.75" customHeight="1">
      <c r="A29" s="27" t="s">
        <v>38</v>
      </c>
      <c r="B29" s="28" t="s">
        <v>39</v>
      </c>
      <c r="C29" s="28"/>
      <c r="D29" s="29"/>
      <c r="E29" s="29"/>
      <c r="F29" s="29"/>
      <c r="H29" s="29"/>
      <c r="I29" s="28"/>
      <c r="J29" s="35"/>
      <c r="K29" s="29"/>
      <c r="L29" s="29"/>
      <c r="M29" s="29"/>
      <c r="N29" s="29"/>
    </row>
    <row r="30" spans="1:14" s="5" customFormat="1" ht="12.75" customHeight="1">
      <c r="A30" s="27" t="s">
        <v>40</v>
      </c>
      <c r="B30" s="28" t="s">
        <v>41</v>
      </c>
      <c r="C30" s="28"/>
      <c r="D30" s="29"/>
      <c r="E30" s="29"/>
      <c r="F30" s="29"/>
      <c r="H30" s="29"/>
      <c r="I30" s="28"/>
      <c r="J30" s="35"/>
      <c r="K30" s="29"/>
      <c r="L30" s="29"/>
      <c r="M30" s="29"/>
      <c r="N30" s="29"/>
    </row>
    <row r="31" spans="1:14" s="5" customFormat="1" ht="12.75" customHeight="1">
      <c r="A31" s="27" t="s">
        <v>42</v>
      </c>
      <c r="B31" s="28" t="s">
        <v>43</v>
      </c>
      <c r="C31" s="28"/>
      <c r="D31" s="29"/>
      <c r="E31" s="29"/>
      <c r="F31" s="29"/>
      <c r="H31" s="29"/>
      <c r="I31" s="28"/>
      <c r="J31" s="35"/>
      <c r="K31" s="29"/>
      <c r="L31" s="29"/>
      <c r="M31" s="29"/>
      <c r="N31" s="29"/>
    </row>
    <row r="32" spans="1:14" s="5" customFormat="1" ht="12.75" customHeight="1">
      <c r="A32" s="27" t="s">
        <v>44</v>
      </c>
      <c r="B32" s="28" t="s">
        <v>45</v>
      </c>
      <c r="C32" s="28"/>
      <c r="D32" s="29"/>
      <c r="E32" s="29"/>
      <c r="F32" s="29"/>
      <c r="H32" s="29"/>
      <c r="I32" s="28"/>
      <c r="J32" s="35"/>
      <c r="K32" s="29"/>
      <c r="L32" s="29"/>
      <c r="M32" s="29"/>
      <c r="N32" s="29"/>
    </row>
    <row r="33" spans="1:14" s="5" customFormat="1" ht="12.75" customHeight="1">
      <c r="A33" s="27" t="s">
        <v>46</v>
      </c>
      <c r="B33" s="28" t="s">
        <v>47</v>
      </c>
      <c r="C33" s="28"/>
      <c r="D33" s="29"/>
      <c r="E33" s="29"/>
      <c r="F33" s="29"/>
      <c r="H33" s="29"/>
      <c r="I33" s="28"/>
      <c r="J33" s="35"/>
      <c r="K33" s="29"/>
      <c r="L33" s="29"/>
      <c r="M33" s="29"/>
      <c r="N33" s="29"/>
    </row>
    <row r="34" spans="1:14" s="5" customFormat="1" ht="12.75" customHeight="1">
      <c r="A34" s="27" t="s">
        <v>48</v>
      </c>
      <c r="B34" s="28" t="s">
        <v>49</v>
      </c>
      <c r="C34" s="28"/>
      <c r="D34" s="29"/>
      <c r="E34" s="29"/>
      <c r="F34" s="29"/>
      <c r="H34" s="29"/>
      <c r="I34" s="28"/>
      <c r="J34" s="35"/>
      <c r="K34" s="29"/>
      <c r="L34" s="29"/>
      <c r="M34" s="29"/>
      <c r="N34" s="29"/>
    </row>
    <row r="35" spans="1:14" s="5" customFormat="1" ht="12.75" customHeight="1">
      <c r="A35" s="27" t="s">
        <v>50</v>
      </c>
      <c r="B35" s="28" t="s">
        <v>51</v>
      </c>
      <c r="C35" s="28"/>
      <c r="D35" s="29"/>
      <c r="E35" s="29"/>
      <c r="F35" s="29"/>
      <c r="H35" s="29"/>
      <c r="I35" s="28"/>
      <c r="J35" s="35"/>
      <c r="K35" s="29"/>
      <c r="L35" s="29"/>
      <c r="M35" s="29"/>
      <c r="N35" s="29"/>
    </row>
    <row r="36" spans="1:14" s="5" customFormat="1" ht="12.75" customHeight="1">
      <c r="A36" s="27" t="s">
        <v>52</v>
      </c>
      <c r="B36" s="28" t="s">
        <v>53</v>
      </c>
      <c r="C36" s="28"/>
      <c r="D36" s="29"/>
      <c r="E36" s="29"/>
      <c r="F36" s="29"/>
      <c r="H36" s="29"/>
      <c r="I36" s="28"/>
      <c r="J36" s="35"/>
      <c r="K36" s="29"/>
      <c r="L36" s="29"/>
      <c r="M36" s="29"/>
      <c r="N36" s="29"/>
    </row>
    <row r="37" spans="1:14" s="5" customFormat="1" ht="12.75" customHeight="1">
      <c r="A37" s="27" t="s">
        <v>54</v>
      </c>
      <c r="B37" s="28" t="s">
        <v>55</v>
      </c>
      <c r="C37" s="28"/>
      <c r="D37" s="29"/>
      <c r="E37" s="29"/>
      <c r="F37" s="29"/>
      <c r="H37" s="29"/>
      <c r="I37" s="28"/>
      <c r="J37" s="35"/>
      <c r="K37" s="29"/>
      <c r="L37" s="29"/>
      <c r="M37" s="29"/>
      <c r="N37" s="29"/>
    </row>
    <row r="38" spans="1:14" s="5" customFormat="1" ht="12.75" customHeight="1">
      <c r="A38" s="27" t="s">
        <v>56</v>
      </c>
      <c r="B38" s="28" t="s">
        <v>57</v>
      </c>
      <c r="C38" s="28"/>
      <c r="D38" s="29"/>
      <c r="E38" s="29"/>
      <c r="F38" s="29"/>
      <c r="H38" s="29"/>
      <c r="I38" s="28"/>
      <c r="J38" s="37"/>
      <c r="K38" s="29"/>
      <c r="L38" s="29"/>
      <c r="M38" s="29"/>
      <c r="N38" s="29"/>
    </row>
    <row r="39" spans="1:14" s="5" customFormat="1" ht="12.75" customHeight="1">
      <c r="A39" s="27" t="s">
        <v>58</v>
      </c>
      <c r="B39" s="28" t="s">
        <v>59</v>
      </c>
      <c r="C39" s="28"/>
      <c r="D39" s="29"/>
      <c r="E39" s="29"/>
      <c r="F39" s="29"/>
      <c r="H39" s="29"/>
      <c r="I39" s="28"/>
      <c r="J39" s="35"/>
      <c r="K39" s="29"/>
      <c r="L39" s="29"/>
      <c r="M39" s="29"/>
      <c r="N39" s="29"/>
    </row>
    <row r="40" spans="1:14" s="5" customFormat="1" ht="12.75" customHeight="1">
      <c r="A40" s="27" t="s">
        <v>60</v>
      </c>
      <c r="B40" s="28" t="s">
        <v>61</v>
      </c>
      <c r="C40" s="28"/>
      <c r="D40" s="29"/>
      <c r="E40" s="29"/>
      <c r="F40" s="29"/>
      <c r="H40" s="29"/>
      <c r="I40" s="28"/>
      <c r="J40" s="35"/>
      <c r="K40" s="29"/>
      <c r="L40" s="29"/>
      <c r="M40" s="29"/>
      <c r="N40" s="29"/>
    </row>
    <row r="41" spans="1:14" s="5" customFormat="1" ht="12.75" customHeight="1">
      <c r="A41" s="27" t="s">
        <v>62</v>
      </c>
      <c r="B41" s="28" t="s">
        <v>63</v>
      </c>
      <c r="C41" s="28"/>
      <c r="D41" s="29"/>
      <c r="E41" s="29"/>
      <c r="F41" s="29"/>
      <c r="H41" s="29"/>
      <c r="I41" s="28"/>
      <c r="J41" s="35"/>
      <c r="K41" s="29"/>
      <c r="L41" s="29"/>
      <c r="M41" s="29"/>
      <c r="N41" s="29"/>
    </row>
    <row r="42" spans="1:14" s="5" customFormat="1" ht="12.75" customHeight="1">
      <c r="A42" s="27" t="s">
        <v>64</v>
      </c>
      <c r="B42" s="28" t="s">
        <v>65</v>
      </c>
      <c r="C42" s="28"/>
      <c r="D42" s="29"/>
      <c r="E42" s="29"/>
      <c r="F42" s="29"/>
      <c r="H42" s="29"/>
      <c r="I42" s="28"/>
      <c r="J42" s="35"/>
      <c r="K42" s="29"/>
      <c r="L42" s="29"/>
      <c r="M42" s="29"/>
      <c r="N42" s="29"/>
    </row>
    <row r="43" spans="1:14" s="5" customFormat="1" ht="12.75" customHeight="1">
      <c r="A43" s="27" t="s">
        <v>66</v>
      </c>
      <c r="B43" s="28" t="s">
        <v>67</v>
      </c>
      <c r="C43" s="28"/>
      <c r="D43" s="29"/>
      <c r="E43" s="29"/>
      <c r="F43" s="29"/>
      <c r="H43" s="29"/>
      <c r="I43" s="28"/>
      <c r="J43" s="35"/>
      <c r="K43" s="29"/>
      <c r="L43" s="29"/>
      <c r="M43" s="29"/>
      <c r="N43" s="29"/>
    </row>
    <row r="44" spans="1:14" s="5" customFormat="1" ht="12.75" customHeight="1">
      <c r="A44" s="27" t="s">
        <v>68</v>
      </c>
      <c r="B44" s="28" t="s">
        <v>69</v>
      </c>
      <c r="C44" s="28"/>
      <c r="D44" s="29"/>
      <c r="E44" s="29"/>
      <c r="F44" s="29"/>
      <c r="H44" s="29"/>
      <c r="I44" s="28"/>
      <c r="J44" s="35"/>
      <c r="K44" s="29"/>
      <c r="L44" s="29"/>
      <c r="M44" s="29"/>
      <c r="N44" s="29"/>
    </row>
    <row r="45" spans="1:14" s="5" customFormat="1" ht="12.75" customHeight="1" thickBot="1">
      <c r="A45" s="30" t="s">
        <v>70</v>
      </c>
      <c r="B45" s="31" t="s">
        <v>71</v>
      </c>
      <c r="C45" s="31"/>
      <c r="D45" s="32"/>
      <c r="E45" s="32"/>
      <c r="F45" s="32"/>
      <c r="H45" s="32"/>
      <c r="I45" s="31"/>
      <c r="J45" s="39"/>
      <c r="K45" s="32"/>
      <c r="L45" s="29"/>
      <c r="M45" s="32"/>
      <c r="N45" s="32"/>
    </row>
    <row r="46" spans="1:14" s="5" customFormat="1" ht="11.25">
      <c r="A46" s="75">
        <v>2016</v>
      </c>
      <c r="B46" s="75"/>
      <c r="C46" s="75"/>
      <c r="D46" s="51">
        <f>SUM(D11:D45)</f>
        <v>0</v>
      </c>
      <c r="E46" s="51"/>
      <c r="F46" s="51">
        <f>SUM(F11:F45)</f>
        <v>0</v>
      </c>
      <c r="G46" s="51"/>
      <c r="H46" s="51">
        <f>SUM(H11:H45)</f>
        <v>0</v>
      </c>
      <c r="I46" s="51"/>
      <c r="J46" s="51">
        <f>SUM(J11:J45)</f>
        <v>0</v>
      </c>
      <c r="K46" s="51"/>
      <c r="L46" s="51">
        <f>SUM(L11:L45)</f>
        <v>0</v>
      </c>
      <c r="M46" s="51">
        <f>SUM(M11:M45)</f>
        <v>0</v>
      </c>
      <c r="N46" s="51"/>
    </row>
    <row r="47" spans="1:14" s="5" customFormat="1" ht="11.25">
      <c r="A47" s="79">
        <v>2015</v>
      </c>
      <c r="B47" s="79"/>
      <c r="C47" s="79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</row>
    <row r="48" spans="1:14" s="5" customFormat="1" ht="11.25">
      <c r="A48" s="79">
        <v>2014</v>
      </c>
      <c r="B48" s="79"/>
      <c r="C48" s="79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</row>
    <row r="49" spans="1:26" s="5" customFormat="1" ht="11.25">
      <c r="A49" s="79">
        <v>2013</v>
      </c>
      <c r="B49" s="79"/>
      <c r="C49" s="79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</row>
    <row r="50" spans="1:26" s="5" customFormat="1" ht="12" thickBot="1">
      <c r="A50" s="80">
        <v>2012</v>
      </c>
      <c r="B50" s="80"/>
      <c r="C50" s="80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</row>
    <row r="51" spans="1:26" s="5" customFormat="1" ht="12" thickTop="1">
      <c r="A51" s="4" t="s">
        <v>136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26" s="5" customFormat="1" ht="11.25">
      <c r="A52" s="13" t="s">
        <v>140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</sheetData>
  <mergeCells count="35">
    <mergeCell ref="A47:C47"/>
    <mergeCell ref="A48:C48"/>
    <mergeCell ref="A49:C49"/>
    <mergeCell ref="A50:C50"/>
    <mergeCell ref="C1:N1"/>
    <mergeCell ref="C2:N2"/>
    <mergeCell ref="C3:N3"/>
    <mergeCell ref="C4:N4"/>
    <mergeCell ref="A6:C6"/>
    <mergeCell ref="D6:E6"/>
    <mergeCell ref="F6:G6"/>
    <mergeCell ref="M6:N6"/>
    <mergeCell ref="H6:I6"/>
    <mergeCell ref="J6:K6"/>
    <mergeCell ref="F10:G10"/>
    <mergeCell ref="M10:N10"/>
    <mergeCell ref="M7:N7"/>
    <mergeCell ref="A8:C8"/>
    <mergeCell ref="D8:E8"/>
    <mergeCell ref="F8:G8"/>
    <mergeCell ref="M8:N8"/>
    <mergeCell ref="H7:I7"/>
    <mergeCell ref="H8:I8"/>
    <mergeCell ref="H10:I10"/>
    <mergeCell ref="J7:K7"/>
    <mergeCell ref="J8:K8"/>
    <mergeCell ref="J10:K10"/>
    <mergeCell ref="A46:C46"/>
    <mergeCell ref="A9:C9"/>
    <mergeCell ref="D9:E9"/>
    <mergeCell ref="A10:C10"/>
    <mergeCell ref="D10:E10"/>
    <mergeCell ref="A7:C7"/>
    <mergeCell ref="D7:E7"/>
    <mergeCell ref="F7:G7"/>
  </mergeCells>
  <printOptions horizontalCentered="1"/>
  <pageMargins left="0.47244094488188998" right="0.39370078740157499" top="0.196850393700787" bottom="0.39370078740157499" header="0.511811023622047" footer="0.39370078740157499"/>
  <pageSetup paperSize="13" scale="75" orientation="portrait" horizontalDpi="180" verticalDpi="180" r:id="rId1"/>
  <headerFooter scaleWithDoc="0">
    <oddFooter>&amp;C&amp;G&amp;"Arial,Regular"&amp;9 148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view="pageBreakPreview" zoomScaleSheetLayoutView="100" workbookViewId="0">
      <selection activeCell="L9" sqref="L9:L43"/>
    </sheetView>
  </sheetViews>
  <sheetFormatPr defaultRowHeight="15.75"/>
  <cols>
    <col min="1" max="1" width="3.875" style="14" customWidth="1"/>
    <col min="2" max="2" width="6.375" style="14" customWidth="1"/>
    <col min="3" max="3" width="8.5" style="14" customWidth="1"/>
    <col min="4" max="4" width="6.25" style="14" customWidth="1"/>
    <col min="5" max="5" width="2.125" style="14" customWidth="1"/>
    <col min="6" max="6" width="6.125" style="14" bestFit="1" customWidth="1"/>
    <col min="7" max="7" width="1.375" style="14" customWidth="1"/>
    <col min="8" max="8" width="6.125" style="14" bestFit="1" customWidth="1"/>
    <col min="9" max="9" width="1.5" style="14" customWidth="1"/>
    <col min="10" max="10" width="6.375" style="14" customWidth="1"/>
    <col min="11" max="11" width="2.375" style="14" customWidth="1"/>
    <col min="12" max="12" width="5.875" style="14" customWidth="1"/>
    <col min="13" max="13" width="2.5" style="14" customWidth="1"/>
    <col min="14" max="16384" width="9" style="14"/>
  </cols>
  <sheetData>
    <row r="1" spans="1:13" s="5" customFormat="1" ht="11.25">
      <c r="A1" s="3" t="s">
        <v>0</v>
      </c>
      <c r="B1" s="4" t="s">
        <v>101</v>
      </c>
      <c r="C1" s="81" t="s">
        <v>102</v>
      </c>
      <c r="D1" s="81"/>
      <c r="E1" s="81"/>
      <c r="F1" s="81"/>
      <c r="G1" s="81"/>
      <c r="H1" s="81"/>
      <c r="I1" s="81"/>
      <c r="J1" s="81"/>
      <c r="K1" s="81"/>
      <c r="L1" s="81"/>
      <c r="M1" s="81"/>
    </row>
    <row r="2" spans="1:13" s="5" customFormat="1" ht="11.25">
      <c r="A2" s="6" t="s">
        <v>1</v>
      </c>
      <c r="B2" s="7"/>
      <c r="C2" s="81" t="s">
        <v>148</v>
      </c>
      <c r="D2" s="81"/>
      <c r="E2" s="81"/>
      <c r="F2" s="81"/>
      <c r="G2" s="81"/>
      <c r="H2" s="81"/>
      <c r="I2" s="81"/>
      <c r="J2" s="81"/>
      <c r="K2" s="81"/>
      <c r="L2" s="81"/>
      <c r="M2" s="81"/>
    </row>
    <row r="3" spans="1:13" s="5" customFormat="1" ht="11.25">
      <c r="A3" s="7"/>
      <c r="B3" s="7"/>
      <c r="C3" s="82" t="s">
        <v>103</v>
      </c>
      <c r="D3" s="82"/>
      <c r="E3" s="82"/>
      <c r="F3" s="82"/>
      <c r="G3" s="82"/>
      <c r="H3" s="82"/>
      <c r="I3" s="82"/>
      <c r="J3" s="82"/>
      <c r="K3" s="82"/>
      <c r="L3" s="82"/>
      <c r="M3" s="82"/>
    </row>
    <row r="4" spans="1:13" s="5" customFormat="1" ht="11.25">
      <c r="A4" s="17"/>
      <c r="B4" s="17"/>
      <c r="C4" s="83" t="s">
        <v>149</v>
      </c>
      <c r="D4" s="83"/>
      <c r="E4" s="83"/>
      <c r="F4" s="83"/>
      <c r="G4" s="83"/>
      <c r="H4" s="83"/>
      <c r="I4" s="83"/>
      <c r="J4" s="83"/>
      <c r="K4" s="83"/>
      <c r="L4" s="83"/>
      <c r="M4" s="83"/>
    </row>
    <row r="5" spans="1:13" s="5" customFormat="1" ht="12" thickBot="1">
      <c r="A5" s="8"/>
      <c r="B5" s="8"/>
      <c r="C5" s="19"/>
      <c r="D5" s="20"/>
      <c r="E5" s="20"/>
      <c r="F5" s="20"/>
      <c r="G5" s="20"/>
      <c r="H5" s="20"/>
      <c r="I5" s="20"/>
      <c r="J5" s="20"/>
      <c r="K5" s="20"/>
      <c r="L5" s="8"/>
      <c r="M5" s="8"/>
    </row>
    <row r="6" spans="1:13" s="5" customFormat="1" ht="11.25">
      <c r="A6" s="78" t="s">
        <v>90</v>
      </c>
      <c r="B6" s="78"/>
      <c r="C6" s="78"/>
      <c r="D6" s="70">
        <v>2013</v>
      </c>
      <c r="E6" s="70"/>
      <c r="F6" s="70">
        <v>2014</v>
      </c>
      <c r="G6" s="70"/>
      <c r="H6" s="70">
        <v>2015</v>
      </c>
      <c r="I6" s="70"/>
      <c r="J6" s="75">
        <v>2016</v>
      </c>
      <c r="K6" s="75"/>
      <c r="L6" s="75">
        <v>2017</v>
      </c>
      <c r="M6" s="75"/>
    </row>
    <row r="7" spans="1:13" s="5" customFormat="1" ht="11.25">
      <c r="A7" s="74" t="s">
        <v>72</v>
      </c>
      <c r="B7" s="74"/>
      <c r="C7" s="74"/>
      <c r="D7" s="53"/>
      <c r="E7" s="53"/>
      <c r="F7" s="53"/>
      <c r="G7" s="53"/>
      <c r="H7" s="53"/>
      <c r="I7" s="53"/>
      <c r="J7" s="53"/>
      <c r="K7" s="53"/>
      <c r="L7" s="56"/>
      <c r="M7" s="56"/>
    </row>
    <row r="8" spans="1:13" s="5" customFormat="1" ht="12" thickBot="1">
      <c r="A8" s="77" t="s">
        <v>73</v>
      </c>
      <c r="B8" s="77"/>
      <c r="C8" s="77"/>
      <c r="D8" s="77" t="s">
        <v>74</v>
      </c>
      <c r="E8" s="77"/>
      <c r="F8" s="77" t="s">
        <v>75</v>
      </c>
      <c r="G8" s="77"/>
      <c r="H8" s="77" t="s">
        <v>76</v>
      </c>
      <c r="I8" s="77"/>
      <c r="J8" s="84" t="s">
        <v>77</v>
      </c>
      <c r="K8" s="77"/>
      <c r="L8" s="84" t="s">
        <v>78</v>
      </c>
      <c r="M8" s="84"/>
    </row>
    <row r="9" spans="1:13" s="5" customFormat="1" ht="14.25" customHeight="1">
      <c r="A9" s="10" t="s">
        <v>2</v>
      </c>
      <c r="B9" s="7" t="s">
        <v>3</v>
      </c>
      <c r="C9" s="7"/>
      <c r="D9" s="21"/>
      <c r="E9" s="21"/>
      <c r="F9" s="21"/>
      <c r="G9" s="21"/>
      <c r="H9" s="21"/>
      <c r="I9" s="21"/>
      <c r="J9" s="21">
        <v>881</v>
      </c>
      <c r="K9" s="21"/>
      <c r="L9" s="21">
        <v>1114</v>
      </c>
      <c r="M9" s="7"/>
    </row>
    <row r="10" spans="1:13" s="5" customFormat="1" ht="14.25" customHeight="1">
      <c r="A10" s="10" t="s">
        <v>4</v>
      </c>
      <c r="B10" s="7" t="s">
        <v>5</v>
      </c>
      <c r="C10" s="7"/>
      <c r="D10" s="22"/>
      <c r="E10" s="22"/>
      <c r="F10" s="22"/>
      <c r="G10" s="22"/>
      <c r="H10" s="22"/>
      <c r="I10" s="22"/>
      <c r="J10" s="22">
        <v>983</v>
      </c>
      <c r="K10" s="22"/>
      <c r="L10" s="22">
        <v>1189</v>
      </c>
      <c r="M10" s="7"/>
    </row>
    <row r="11" spans="1:13" s="5" customFormat="1" ht="14.25" customHeight="1">
      <c r="A11" s="10" t="s">
        <v>6</v>
      </c>
      <c r="B11" s="7" t="s">
        <v>7</v>
      </c>
      <c r="C11" s="7"/>
      <c r="D11" s="22"/>
      <c r="E11" s="22"/>
      <c r="F11" s="22"/>
      <c r="G11" s="22"/>
      <c r="H11" s="22" t="s">
        <v>141</v>
      </c>
      <c r="I11" s="22"/>
      <c r="J11" s="22">
        <v>509</v>
      </c>
      <c r="K11" s="22"/>
      <c r="L11" s="22">
        <v>840</v>
      </c>
      <c r="M11" s="7"/>
    </row>
    <row r="12" spans="1:13" s="5" customFormat="1" ht="14.25" customHeight="1">
      <c r="A12" s="10" t="s">
        <v>8</v>
      </c>
      <c r="B12" s="7" t="s">
        <v>9</v>
      </c>
      <c r="C12" s="7"/>
      <c r="D12" s="22"/>
      <c r="E12" s="22"/>
      <c r="F12" s="22"/>
      <c r="G12" s="22"/>
      <c r="H12" s="22"/>
      <c r="I12" s="22"/>
      <c r="J12" s="22">
        <v>780</v>
      </c>
      <c r="K12" s="22"/>
      <c r="L12" s="22">
        <v>756</v>
      </c>
      <c r="M12" s="7"/>
    </row>
    <row r="13" spans="1:13" s="5" customFormat="1" ht="14.25" customHeight="1">
      <c r="A13" s="10" t="s">
        <v>10</v>
      </c>
      <c r="B13" s="7" t="s">
        <v>11</v>
      </c>
      <c r="C13" s="7"/>
      <c r="D13" s="22"/>
      <c r="E13" s="22"/>
      <c r="F13" s="22"/>
      <c r="G13" s="22"/>
      <c r="H13" s="22"/>
      <c r="I13" s="22"/>
      <c r="J13" s="22">
        <v>998</v>
      </c>
      <c r="K13" s="22"/>
      <c r="L13" s="22">
        <v>1165</v>
      </c>
      <c r="M13" s="7"/>
    </row>
    <row r="14" spans="1:13" s="5" customFormat="1" ht="14.25" customHeight="1">
      <c r="A14" s="10" t="s">
        <v>12</v>
      </c>
      <c r="B14" s="7" t="s">
        <v>13</v>
      </c>
      <c r="C14" s="7"/>
      <c r="D14" s="22"/>
      <c r="E14" s="22"/>
      <c r="F14" s="22"/>
      <c r="G14" s="22"/>
      <c r="H14" s="22"/>
      <c r="I14" s="22"/>
      <c r="J14" s="22">
        <v>476</v>
      </c>
      <c r="K14" s="22"/>
      <c r="L14" s="22">
        <v>682</v>
      </c>
      <c r="M14" s="7"/>
    </row>
    <row r="15" spans="1:13" s="5" customFormat="1" ht="14.25" customHeight="1">
      <c r="A15" s="10" t="s">
        <v>14</v>
      </c>
      <c r="B15" s="7" t="s">
        <v>15</v>
      </c>
      <c r="C15" s="7"/>
      <c r="D15" s="22"/>
      <c r="E15" s="22"/>
      <c r="F15" s="22"/>
      <c r="G15" s="22"/>
      <c r="H15" s="22"/>
      <c r="I15" s="22"/>
      <c r="J15" s="22">
        <v>699</v>
      </c>
      <c r="K15" s="22"/>
      <c r="L15" s="22">
        <v>749</v>
      </c>
      <c r="M15" s="7"/>
    </row>
    <row r="16" spans="1:13" s="5" customFormat="1" ht="14.25" customHeight="1">
      <c r="A16" s="10" t="s">
        <v>16</v>
      </c>
      <c r="B16" s="7" t="s">
        <v>17</v>
      </c>
      <c r="C16" s="7"/>
      <c r="D16" s="22"/>
      <c r="E16" s="22"/>
      <c r="F16" s="22"/>
      <c r="G16" s="22"/>
      <c r="H16" s="22"/>
      <c r="I16" s="22"/>
      <c r="J16" s="22">
        <v>941</v>
      </c>
      <c r="K16" s="22"/>
      <c r="L16" s="22">
        <v>1109</v>
      </c>
      <c r="M16" s="7"/>
    </row>
    <row r="17" spans="1:13" s="5" customFormat="1" ht="14.25" customHeight="1">
      <c r="A17" s="10" t="s">
        <v>18</v>
      </c>
      <c r="B17" s="7" t="s">
        <v>19</v>
      </c>
      <c r="C17" s="7"/>
      <c r="D17" s="22"/>
      <c r="E17" s="22"/>
      <c r="F17" s="22"/>
      <c r="G17" s="22"/>
      <c r="H17" s="22"/>
      <c r="I17" s="22"/>
      <c r="J17" s="22">
        <v>697</v>
      </c>
      <c r="K17" s="22"/>
      <c r="L17" s="22">
        <v>746</v>
      </c>
      <c r="M17" s="7"/>
    </row>
    <row r="18" spans="1:13" s="5" customFormat="1" ht="14.25" customHeight="1">
      <c r="A18" s="10" t="s">
        <v>20</v>
      </c>
      <c r="B18" s="7" t="s">
        <v>21</v>
      </c>
      <c r="C18" s="7"/>
      <c r="D18" s="22"/>
      <c r="E18" s="22"/>
      <c r="F18" s="22"/>
      <c r="G18" s="22"/>
      <c r="H18" s="22"/>
      <c r="I18" s="22"/>
      <c r="J18" s="22">
        <v>814</v>
      </c>
      <c r="K18" s="22"/>
      <c r="L18" s="22">
        <v>1150</v>
      </c>
      <c r="M18" s="7"/>
    </row>
    <row r="19" spans="1:13" s="5" customFormat="1" ht="14.25" customHeight="1">
      <c r="A19" s="10" t="s">
        <v>22</v>
      </c>
      <c r="B19" s="7" t="s">
        <v>23</v>
      </c>
      <c r="C19" s="7"/>
      <c r="D19" s="22"/>
      <c r="E19" s="22"/>
      <c r="F19" s="22"/>
      <c r="G19" s="22"/>
      <c r="H19" s="22"/>
      <c r="I19" s="22"/>
      <c r="J19" s="22">
        <v>529</v>
      </c>
      <c r="K19" s="22"/>
      <c r="L19" s="22">
        <v>800</v>
      </c>
      <c r="M19" s="7"/>
    </row>
    <row r="20" spans="1:13" s="5" customFormat="1" ht="14.25" customHeight="1">
      <c r="A20" s="10" t="s">
        <v>24</v>
      </c>
      <c r="B20" s="7" t="s">
        <v>25</v>
      </c>
      <c r="C20" s="7"/>
      <c r="D20" s="22"/>
      <c r="E20" s="22"/>
      <c r="F20" s="22"/>
      <c r="G20" s="22"/>
      <c r="H20" s="22"/>
      <c r="I20" s="22"/>
      <c r="J20" s="22">
        <v>428</v>
      </c>
      <c r="K20" s="22"/>
      <c r="L20" s="22">
        <v>412</v>
      </c>
      <c r="M20" s="7"/>
    </row>
    <row r="21" spans="1:13" s="5" customFormat="1" ht="14.25" customHeight="1">
      <c r="A21" s="10" t="s">
        <v>26</v>
      </c>
      <c r="B21" s="7" t="s">
        <v>27</v>
      </c>
      <c r="C21" s="7"/>
      <c r="D21" s="22"/>
      <c r="E21" s="22"/>
      <c r="F21" s="22"/>
      <c r="G21" s="22"/>
      <c r="H21" s="22"/>
      <c r="I21" s="22"/>
      <c r="J21" s="22">
        <v>528</v>
      </c>
      <c r="K21" s="22"/>
      <c r="L21" s="22">
        <v>625</v>
      </c>
      <c r="M21" s="7"/>
    </row>
    <row r="22" spans="1:13" s="5" customFormat="1" ht="14.25" customHeight="1">
      <c r="A22" s="10" t="s">
        <v>28</v>
      </c>
      <c r="B22" s="7" t="s">
        <v>29</v>
      </c>
      <c r="C22" s="7"/>
      <c r="D22" s="22"/>
      <c r="E22" s="22"/>
      <c r="F22" s="22"/>
      <c r="G22" s="22"/>
      <c r="H22" s="22"/>
      <c r="I22" s="22"/>
      <c r="J22" s="22">
        <v>822</v>
      </c>
      <c r="K22" s="22"/>
      <c r="L22" s="22">
        <v>1158</v>
      </c>
      <c r="M22" s="7"/>
    </row>
    <row r="23" spans="1:13" s="5" customFormat="1" ht="14.25" customHeight="1">
      <c r="A23" s="10" t="s">
        <v>30</v>
      </c>
      <c r="B23" s="7" t="s">
        <v>31</v>
      </c>
      <c r="C23" s="7"/>
      <c r="D23" s="22"/>
      <c r="E23" s="22"/>
      <c r="F23" s="22"/>
      <c r="G23" s="22"/>
      <c r="H23" s="22"/>
      <c r="I23" s="22"/>
      <c r="J23" s="22">
        <v>536</v>
      </c>
      <c r="K23" s="22"/>
      <c r="L23" s="22">
        <v>984</v>
      </c>
      <c r="M23" s="7"/>
    </row>
    <row r="24" spans="1:13" s="5" customFormat="1" ht="14.25" customHeight="1">
      <c r="A24" s="10" t="s">
        <v>32</v>
      </c>
      <c r="B24" s="7" t="s">
        <v>33</v>
      </c>
      <c r="C24" s="7"/>
      <c r="D24" s="22"/>
      <c r="E24" s="22"/>
      <c r="F24" s="22"/>
      <c r="G24" s="22"/>
      <c r="H24" s="22"/>
      <c r="I24" s="22"/>
      <c r="J24" s="22">
        <v>516</v>
      </c>
      <c r="K24" s="22"/>
      <c r="L24" s="22">
        <v>705</v>
      </c>
      <c r="M24" s="7"/>
    </row>
    <row r="25" spans="1:13" s="5" customFormat="1" ht="14.25" customHeight="1">
      <c r="A25" s="10" t="s">
        <v>34</v>
      </c>
      <c r="B25" s="7" t="s">
        <v>35</v>
      </c>
      <c r="C25" s="7"/>
      <c r="D25" s="22"/>
      <c r="E25" s="22"/>
      <c r="F25" s="22"/>
      <c r="G25" s="22"/>
      <c r="H25" s="22"/>
      <c r="I25" s="22"/>
      <c r="J25" s="22">
        <v>809</v>
      </c>
      <c r="K25" s="22"/>
      <c r="L25" s="22">
        <v>811</v>
      </c>
      <c r="M25" s="7"/>
    </row>
    <row r="26" spans="1:13" s="5" customFormat="1" ht="14.25" customHeight="1">
      <c r="A26" s="10" t="s">
        <v>36</v>
      </c>
      <c r="B26" s="7" t="s">
        <v>37</v>
      </c>
      <c r="C26" s="7"/>
      <c r="D26" s="22"/>
      <c r="E26" s="22"/>
      <c r="F26" s="22"/>
      <c r="G26" s="22"/>
      <c r="H26" s="22"/>
      <c r="I26" s="22"/>
      <c r="J26" s="22">
        <v>1232</v>
      </c>
      <c r="K26" s="22"/>
      <c r="L26" s="22">
        <v>1756</v>
      </c>
      <c r="M26" s="7"/>
    </row>
    <row r="27" spans="1:13" s="5" customFormat="1" ht="14.25" customHeight="1">
      <c r="A27" s="10" t="s">
        <v>38</v>
      </c>
      <c r="B27" s="7" t="s">
        <v>39</v>
      </c>
      <c r="C27" s="7"/>
      <c r="D27" s="22"/>
      <c r="E27" s="22"/>
      <c r="F27" s="22"/>
      <c r="G27" s="22"/>
      <c r="H27" s="22"/>
      <c r="I27" s="22"/>
      <c r="J27" s="22">
        <v>904</v>
      </c>
      <c r="K27" s="22"/>
      <c r="L27" s="22">
        <v>1318</v>
      </c>
      <c r="M27" s="7"/>
    </row>
    <row r="28" spans="1:13" s="5" customFormat="1" ht="14.25" customHeight="1">
      <c r="A28" s="10" t="s">
        <v>40</v>
      </c>
      <c r="B28" s="7" t="s">
        <v>41</v>
      </c>
      <c r="C28" s="7"/>
      <c r="D28" s="22"/>
      <c r="E28" s="22"/>
      <c r="F28" s="22"/>
      <c r="G28" s="22"/>
      <c r="H28" s="22"/>
      <c r="I28" s="22"/>
      <c r="J28" s="22">
        <v>888</v>
      </c>
      <c r="K28" s="22"/>
      <c r="L28" s="22">
        <v>1143</v>
      </c>
      <c r="M28" s="7"/>
    </row>
    <row r="29" spans="1:13" s="5" customFormat="1" ht="14.25" customHeight="1">
      <c r="A29" s="10" t="s">
        <v>42</v>
      </c>
      <c r="B29" s="7" t="s">
        <v>43</v>
      </c>
      <c r="C29" s="7"/>
      <c r="D29" s="22"/>
      <c r="E29" s="22"/>
      <c r="F29" s="22"/>
      <c r="G29" s="22"/>
      <c r="H29" s="22"/>
      <c r="I29" s="22"/>
      <c r="J29" s="22">
        <v>821</v>
      </c>
      <c r="K29" s="22"/>
      <c r="L29" s="22">
        <v>1660</v>
      </c>
      <c r="M29" s="7"/>
    </row>
    <row r="30" spans="1:13" s="5" customFormat="1" ht="14.25" customHeight="1">
      <c r="A30" s="10" t="s">
        <v>44</v>
      </c>
      <c r="B30" s="7" t="s">
        <v>45</v>
      </c>
      <c r="C30" s="7"/>
      <c r="D30" s="22"/>
      <c r="E30" s="22"/>
      <c r="F30" s="22"/>
      <c r="G30" s="22"/>
      <c r="H30" s="22"/>
      <c r="I30" s="22"/>
      <c r="J30" s="22">
        <v>628</v>
      </c>
      <c r="K30" s="22"/>
      <c r="L30" s="22">
        <v>850</v>
      </c>
      <c r="M30" s="7"/>
    </row>
    <row r="31" spans="1:13" s="5" customFormat="1" ht="14.25" customHeight="1">
      <c r="A31" s="10" t="s">
        <v>46</v>
      </c>
      <c r="B31" s="7" t="s">
        <v>47</v>
      </c>
      <c r="C31" s="7"/>
      <c r="D31" s="22"/>
      <c r="E31" s="22"/>
      <c r="F31" s="22"/>
      <c r="G31" s="22"/>
      <c r="H31" s="22"/>
      <c r="I31" s="22"/>
      <c r="J31" s="22">
        <v>608</v>
      </c>
      <c r="K31" s="22"/>
      <c r="L31" s="22">
        <v>613</v>
      </c>
      <c r="M31" s="7"/>
    </row>
    <row r="32" spans="1:13" s="5" customFormat="1" ht="14.25" customHeight="1">
      <c r="A32" s="10" t="s">
        <v>48</v>
      </c>
      <c r="B32" s="7" t="s">
        <v>49</v>
      </c>
      <c r="C32" s="7"/>
      <c r="D32" s="22"/>
      <c r="E32" s="22"/>
      <c r="F32" s="22"/>
      <c r="G32" s="22"/>
      <c r="H32" s="22"/>
      <c r="I32" s="22"/>
      <c r="J32" s="22">
        <v>795</v>
      </c>
      <c r="K32" s="22"/>
      <c r="L32" s="22">
        <v>1137</v>
      </c>
      <c r="M32" s="7"/>
    </row>
    <row r="33" spans="1:21" s="5" customFormat="1" ht="14.25" customHeight="1">
      <c r="A33" s="10" t="s">
        <v>50</v>
      </c>
      <c r="B33" s="7" t="s">
        <v>51</v>
      </c>
      <c r="C33" s="7"/>
      <c r="D33" s="22"/>
      <c r="E33" s="22"/>
      <c r="F33" s="22"/>
      <c r="G33" s="22"/>
      <c r="H33" s="22"/>
      <c r="I33" s="22"/>
      <c r="J33" s="22">
        <v>716</v>
      </c>
      <c r="K33" s="22"/>
      <c r="L33" s="22">
        <v>682</v>
      </c>
      <c r="M33" s="7"/>
    </row>
    <row r="34" spans="1:21" s="5" customFormat="1" ht="14.25" customHeight="1">
      <c r="A34" s="10" t="s">
        <v>52</v>
      </c>
      <c r="B34" s="7" t="s">
        <v>53</v>
      </c>
      <c r="C34" s="7"/>
      <c r="D34" s="22"/>
      <c r="E34" s="22"/>
      <c r="F34" s="22"/>
      <c r="G34" s="22"/>
      <c r="H34" s="22"/>
      <c r="I34" s="22"/>
      <c r="J34" s="22">
        <v>718</v>
      </c>
      <c r="K34" s="22"/>
      <c r="L34" s="22">
        <v>648</v>
      </c>
      <c r="M34" s="7"/>
    </row>
    <row r="35" spans="1:21" s="5" customFormat="1" ht="14.25" customHeight="1">
      <c r="A35" s="10" t="s">
        <v>54</v>
      </c>
      <c r="B35" s="7" t="s">
        <v>55</v>
      </c>
      <c r="C35" s="7"/>
      <c r="D35" s="22"/>
      <c r="E35" s="22"/>
      <c r="F35" s="22"/>
      <c r="G35" s="22"/>
      <c r="H35" s="22"/>
      <c r="I35" s="22"/>
      <c r="J35" s="22">
        <v>498</v>
      </c>
      <c r="K35" s="22"/>
      <c r="L35" s="22">
        <v>642</v>
      </c>
      <c r="M35" s="7"/>
    </row>
    <row r="36" spans="1:21" s="5" customFormat="1" ht="14.25" customHeight="1">
      <c r="A36" s="10" t="s">
        <v>56</v>
      </c>
      <c r="B36" s="7" t="s">
        <v>57</v>
      </c>
      <c r="C36" s="7"/>
      <c r="D36" s="22"/>
      <c r="E36" s="22"/>
      <c r="F36" s="22"/>
      <c r="G36" s="22"/>
      <c r="H36" s="22"/>
      <c r="I36" s="22"/>
      <c r="J36" s="22">
        <v>941</v>
      </c>
      <c r="K36" s="22"/>
      <c r="L36" s="22">
        <v>1229</v>
      </c>
      <c r="M36" s="7"/>
    </row>
    <row r="37" spans="1:21" s="5" customFormat="1" ht="14.25" customHeight="1">
      <c r="A37" s="10" t="s">
        <v>58</v>
      </c>
      <c r="B37" s="7" t="s">
        <v>59</v>
      </c>
      <c r="C37" s="7"/>
      <c r="D37" s="22"/>
      <c r="E37" s="22"/>
      <c r="F37" s="22"/>
      <c r="G37" s="22"/>
      <c r="H37" s="22"/>
      <c r="I37" s="22"/>
      <c r="J37" s="22">
        <v>1300</v>
      </c>
      <c r="K37" s="22"/>
      <c r="L37" s="22">
        <v>1174</v>
      </c>
      <c r="M37" s="7"/>
    </row>
    <row r="38" spans="1:21" s="5" customFormat="1" ht="14.25" customHeight="1">
      <c r="A38" s="10" t="s">
        <v>60</v>
      </c>
      <c r="B38" s="7" t="s">
        <v>61</v>
      </c>
      <c r="C38" s="7"/>
      <c r="D38" s="22"/>
      <c r="E38" s="22"/>
      <c r="F38" s="22"/>
      <c r="G38" s="22"/>
      <c r="H38" s="22"/>
      <c r="I38" s="22"/>
      <c r="J38" s="22">
        <v>135</v>
      </c>
      <c r="K38" s="22"/>
      <c r="L38" s="22">
        <v>150</v>
      </c>
      <c r="M38" s="7"/>
    </row>
    <row r="39" spans="1:21" s="5" customFormat="1" ht="14.25" customHeight="1">
      <c r="A39" s="10" t="s">
        <v>62</v>
      </c>
      <c r="B39" s="7" t="s">
        <v>63</v>
      </c>
      <c r="C39" s="7"/>
      <c r="D39" s="22"/>
      <c r="E39" s="22"/>
      <c r="F39" s="22"/>
      <c r="G39" s="22"/>
      <c r="H39" s="22"/>
      <c r="I39" s="22"/>
      <c r="J39" s="22">
        <v>474</v>
      </c>
      <c r="K39" s="22"/>
      <c r="L39" s="22">
        <v>696</v>
      </c>
      <c r="M39" s="7"/>
    </row>
    <row r="40" spans="1:21" s="5" customFormat="1" ht="14.25" customHeight="1">
      <c r="A40" s="10" t="s">
        <v>64</v>
      </c>
      <c r="B40" s="7" t="s">
        <v>65</v>
      </c>
      <c r="C40" s="7"/>
      <c r="D40" s="22"/>
      <c r="E40" s="22"/>
      <c r="F40" s="22"/>
      <c r="G40" s="22"/>
      <c r="H40" s="22"/>
      <c r="I40" s="22"/>
      <c r="J40" s="22">
        <v>252</v>
      </c>
      <c r="K40" s="22"/>
      <c r="L40" s="22">
        <v>219</v>
      </c>
      <c r="M40" s="7"/>
    </row>
    <row r="41" spans="1:21" s="5" customFormat="1" ht="14.25" customHeight="1">
      <c r="A41" s="10" t="s">
        <v>66</v>
      </c>
      <c r="B41" s="7" t="s">
        <v>67</v>
      </c>
      <c r="C41" s="7"/>
      <c r="D41" s="7"/>
      <c r="E41" s="7"/>
      <c r="F41" s="22"/>
      <c r="G41" s="22"/>
      <c r="H41" s="22"/>
      <c r="I41" s="22"/>
      <c r="J41" s="22">
        <v>1641</v>
      </c>
      <c r="K41" s="22"/>
      <c r="L41" s="22">
        <v>2271</v>
      </c>
      <c r="M41" s="7"/>
    </row>
    <row r="42" spans="1:21" s="5" customFormat="1" ht="14.25" customHeight="1">
      <c r="A42" s="10" t="s">
        <v>68</v>
      </c>
      <c r="B42" s="7" t="s">
        <v>69</v>
      </c>
      <c r="C42" s="7"/>
      <c r="D42" s="22"/>
      <c r="E42" s="22"/>
      <c r="F42" s="22"/>
      <c r="G42" s="22"/>
      <c r="H42" s="22"/>
      <c r="I42" s="22"/>
      <c r="J42" s="22">
        <v>356</v>
      </c>
      <c r="K42" s="22"/>
      <c r="L42" s="22">
        <v>413</v>
      </c>
      <c r="M42" s="7"/>
    </row>
    <row r="43" spans="1:21" s="5" customFormat="1" ht="14.25" customHeight="1" thickBot="1">
      <c r="A43" s="11" t="s">
        <v>70</v>
      </c>
      <c r="B43" s="8" t="s">
        <v>71</v>
      </c>
      <c r="C43" s="8"/>
      <c r="D43" s="1"/>
      <c r="E43" s="1"/>
      <c r="F43" s="1"/>
      <c r="G43" s="1"/>
      <c r="H43" s="1"/>
      <c r="I43" s="1"/>
      <c r="J43" s="1">
        <v>222</v>
      </c>
      <c r="K43" s="1"/>
      <c r="L43" s="1">
        <v>361</v>
      </c>
      <c r="M43" s="8"/>
    </row>
    <row r="44" spans="1:21" s="5" customFormat="1" ht="12" thickBot="1">
      <c r="A44" s="85" t="s">
        <v>89</v>
      </c>
      <c r="B44" s="85"/>
      <c r="C44" s="85"/>
      <c r="D44" s="2">
        <f>SUM(D9:D43)</f>
        <v>0</v>
      </c>
      <c r="E44" s="2"/>
      <c r="F44" s="2">
        <f>SUM(F9:F43)</f>
        <v>0</v>
      </c>
      <c r="G44" s="2"/>
      <c r="H44" s="2">
        <f>SUM(H9:H43)</f>
        <v>0</v>
      </c>
      <c r="I44" s="2"/>
      <c r="J44" s="2">
        <f>SUM(J9:J43)</f>
        <v>25075</v>
      </c>
      <c r="K44" s="2"/>
      <c r="L44" s="2">
        <f>SUM(L9:L43)</f>
        <v>31957</v>
      </c>
      <c r="M44" s="57"/>
    </row>
    <row r="45" spans="1:21" s="5" customFormat="1" ht="11.25">
      <c r="A45" s="4" t="s">
        <v>136</v>
      </c>
      <c r="B45" s="18"/>
      <c r="C45" s="18"/>
      <c r="D45" s="18"/>
      <c r="E45" s="18"/>
      <c r="F45" s="18"/>
      <c r="G45" s="18"/>
      <c r="H45" s="18"/>
      <c r="I45" s="18"/>
      <c r="J45" s="18"/>
      <c r="K45" s="7"/>
      <c r="L45" s="7"/>
      <c r="M45" s="7"/>
    </row>
    <row r="46" spans="1:21" s="5" customFormat="1" ht="11.25">
      <c r="A46" s="13" t="s">
        <v>140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ht="10.5" customHeight="1"/>
    <row r="48" spans="1:21" ht="10.5" customHeight="1"/>
    <row r="49" ht="10.5" customHeight="1"/>
    <row r="50" ht="10.5" customHeight="1"/>
  </sheetData>
  <mergeCells count="15">
    <mergeCell ref="C1:M1"/>
    <mergeCell ref="C2:M2"/>
    <mergeCell ref="C3:M3"/>
    <mergeCell ref="C4:M4"/>
    <mergeCell ref="A6:C6"/>
    <mergeCell ref="J6:K6"/>
    <mergeCell ref="L6:M6"/>
    <mergeCell ref="L8:M8"/>
    <mergeCell ref="A44:C44"/>
    <mergeCell ref="A7:C7"/>
    <mergeCell ref="A8:C8"/>
    <mergeCell ref="D8:E8"/>
    <mergeCell ref="F8:G8"/>
    <mergeCell ref="H8:I8"/>
    <mergeCell ref="J8:K8"/>
  </mergeCells>
  <printOptions horizontalCentered="1"/>
  <pageMargins left="0.47244094488188998" right="0.39370078740157499" top="0.196850393700787" bottom="0.39370078740157499" header="0.511811023622047" footer="0.39370078740157499"/>
  <pageSetup paperSize="13" orientation="portrait" horizontalDpi="180" verticalDpi="180" r:id="rId1"/>
  <headerFooter scaleWithDoc="0">
    <oddFooter>&amp;C&amp;G&amp;"Arial,Regular"&amp;9 149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6"/>
  <sheetViews>
    <sheetView view="pageBreakPreview" zoomScaleSheetLayoutView="100" workbookViewId="0">
      <selection activeCell="F29" sqref="F29"/>
    </sheetView>
  </sheetViews>
  <sheetFormatPr defaultRowHeight="15.75"/>
  <cols>
    <col min="1" max="1" width="4.625" style="14" customWidth="1"/>
    <col min="2" max="2" width="12.125" style="14" bestFit="1" customWidth="1"/>
    <col min="3" max="3" width="3.875" style="14" bestFit="1" customWidth="1"/>
    <col min="4" max="4" width="10.25" style="14" customWidth="1"/>
    <col min="5" max="5" width="6.75" style="14" customWidth="1"/>
    <col min="6" max="6" width="11.125" style="14" customWidth="1"/>
    <col min="7" max="7" width="5.125" style="14" customWidth="1"/>
    <col min="8" max="8" width="8.375" style="14" customWidth="1"/>
    <col min="9" max="9" width="6.25" style="14" customWidth="1"/>
    <col min="10" max="16384" width="9" style="14"/>
  </cols>
  <sheetData>
    <row r="1" spans="1:9" s="5" customFormat="1" ht="11.25">
      <c r="A1" s="3" t="s">
        <v>0</v>
      </c>
      <c r="B1" s="4" t="s">
        <v>104</v>
      </c>
      <c r="C1" s="81" t="s">
        <v>102</v>
      </c>
      <c r="D1" s="81"/>
      <c r="E1" s="81"/>
      <c r="F1" s="81"/>
      <c r="G1" s="81"/>
      <c r="H1" s="81"/>
      <c r="I1" s="81"/>
    </row>
    <row r="2" spans="1:9" s="5" customFormat="1" ht="11.25">
      <c r="A2" s="6" t="s">
        <v>1</v>
      </c>
      <c r="B2" s="7"/>
      <c r="C2" s="81" t="s">
        <v>144</v>
      </c>
      <c r="D2" s="81"/>
      <c r="E2" s="81"/>
      <c r="F2" s="81"/>
      <c r="G2" s="81"/>
      <c r="H2" s="81"/>
      <c r="I2" s="81"/>
    </row>
    <row r="3" spans="1:9" s="5" customFormat="1" ht="11.25">
      <c r="A3" s="7"/>
      <c r="B3" s="7"/>
      <c r="C3" s="82" t="s">
        <v>105</v>
      </c>
      <c r="D3" s="82"/>
      <c r="E3" s="82"/>
      <c r="F3" s="82"/>
      <c r="G3" s="82"/>
      <c r="H3" s="82"/>
      <c r="I3" s="82"/>
    </row>
    <row r="4" spans="1:9" s="5" customFormat="1" ht="11.25">
      <c r="A4" s="7"/>
      <c r="B4" s="7"/>
      <c r="C4" s="82" t="s">
        <v>145</v>
      </c>
      <c r="D4" s="82"/>
      <c r="E4" s="82"/>
      <c r="F4" s="82"/>
      <c r="G4" s="82"/>
      <c r="H4" s="82"/>
      <c r="I4" s="82"/>
    </row>
    <row r="5" spans="1:9" s="5" customFormat="1" ht="12" thickBot="1">
      <c r="A5" s="8"/>
      <c r="B5" s="8"/>
      <c r="C5" s="8"/>
      <c r="D5" s="8"/>
      <c r="E5" s="8"/>
      <c r="F5" s="8"/>
      <c r="G5" s="8"/>
      <c r="H5" s="8"/>
      <c r="I5" s="8"/>
    </row>
    <row r="6" spans="1:9" s="5" customFormat="1" ht="11.25">
      <c r="A6" s="49"/>
      <c r="B6" s="49"/>
      <c r="C6" s="49"/>
      <c r="D6" s="87" t="s">
        <v>106</v>
      </c>
      <c r="E6" s="87"/>
      <c r="F6" s="87"/>
      <c r="G6" s="87"/>
      <c r="H6" s="64" t="s">
        <v>84</v>
      </c>
      <c r="I6" s="64"/>
    </row>
    <row r="7" spans="1:9" s="5" customFormat="1" ht="11.25">
      <c r="A7" s="78" t="s">
        <v>81</v>
      </c>
      <c r="B7" s="78"/>
      <c r="C7" s="78"/>
      <c r="D7" s="76" t="s">
        <v>107</v>
      </c>
      <c r="E7" s="76"/>
      <c r="F7" s="76"/>
      <c r="G7" s="76"/>
      <c r="H7" s="78" t="s">
        <v>79</v>
      </c>
      <c r="I7" s="78"/>
    </row>
    <row r="8" spans="1:9" s="5" customFormat="1" ht="11.25">
      <c r="A8" s="74" t="s">
        <v>72</v>
      </c>
      <c r="B8" s="74"/>
      <c r="C8" s="74"/>
      <c r="D8" s="78" t="s">
        <v>108</v>
      </c>
      <c r="E8" s="78"/>
      <c r="F8" s="86" t="s">
        <v>109</v>
      </c>
      <c r="G8" s="86"/>
      <c r="H8" s="74" t="s">
        <v>80</v>
      </c>
      <c r="I8" s="74"/>
    </row>
    <row r="9" spans="1:9" s="5" customFormat="1" ht="11.25">
      <c r="A9" s="49"/>
      <c r="B9" s="49"/>
      <c r="C9" s="49"/>
      <c r="D9" s="76" t="s">
        <v>110</v>
      </c>
      <c r="E9" s="76"/>
      <c r="F9" s="76" t="s">
        <v>111</v>
      </c>
      <c r="G9" s="76"/>
      <c r="H9" s="65" t="s">
        <v>84</v>
      </c>
      <c r="I9" s="65"/>
    </row>
    <row r="10" spans="1:9" s="5" customFormat="1" ht="12" thickBot="1">
      <c r="A10" s="77" t="s">
        <v>73</v>
      </c>
      <c r="B10" s="77"/>
      <c r="C10" s="77"/>
      <c r="D10" s="77" t="s">
        <v>74</v>
      </c>
      <c r="E10" s="77"/>
      <c r="F10" s="77" t="s">
        <v>75</v>
      </c>
      <c r="G10" s="77"/>
      <c r="H10" s="77" t="s">
        <v>76</v>
      </c>
      <c r="I10" s="77"/>
    </row>
    <row r="11" spans="1:9" s="5" customFormat="1" ht="12" customHeight="1">
      <c r="A11" s="10" t="s">
        <v>2</v>
      </c>
      <c r="B11" s="7" t="s">
        <v>3</v>
      </c>
      <c r="C11" s="7"/>
      <c r="D11" s="16">
        <v>531</v>
      </c>
      <c r="E11" s="16"/>
      <c r="F11" s="16">
        <v>583</v>
      </c>
      <c r="G11" s="16"/>
      <c r="H11" s="16">
        <f>+D11+F11</f>
        <v>1114</v>
      </c>
      <c r="I11" s="23"/>
    </row>
    <row r="12" spans="1:9" s="5" customFormat="1" ht="12" customHeight="1">
      <c r="A12" s="10" t="s">
        <v>4</v>
      </c>
      <c r="B12" s="7" t="s">
        <v>5</v>
      </c>
      <c r="C12" s="7"/>
      <c r="D12" s="16">
        <v>552</v>
      </c>
      <c r="E12" s="16"/>
      <c r="F12" s="16">
        <v>637</v>
      </c>
      <c r="G12" s="16"/>
      <c r="H12" s="16">
        <f t="shared" ref="H12:H45" si="0">+D12+F12</f>
        <v>1189</v>
      </c>
      <c r="I12" s="23"/>
    </row>
    <row r="13" spans="1:9" s="5" customFormat="1" ht="12" customHeight="1">
      <c r="A13" s="10" t="s">
        <v>6</v>
      </c>
      <c r="B13" s="7" t="s">
        <v>7</v>
      </c>
      <c r="C13" s="7"/>
      <c r="D13" s="16">
        <v>378</v>
      </c>
      <c r="E13" s="16"/>
      <c r="F13" s="16">
        <v>462</v>
      </c>
      <c r="G13" s="16"/>
      <c r="H13" s="16">
        <f t="shared" si="0"/>
        <v>840</v>
      </c>
      <c r="I13" s="23"/>
    </row>
    <row r="14" spans="1:9" s="5" customFormat="1" ht="12" customHeight="1">
      <c r="A14" s="10" t="s">
        <v>8</v>
      </c>
      <c r="B14" s="7" t="s">
        <v>9</v>
      </c>
      <c r="C14" s="7"/>
      <c r="D14" s="16">
        <v>364</v>
      </c>
      <c r="E14" s="16"/>
      <c r="F14" s="16">
        <v>392</v>
      </c>
      <c r="G14" s="16"/>
      <c r="H14" s="16">
        <f t="shared" si="0"/>
        <v>756</v>
      </c>
      <c r="I14" s="23"/>
    </row>
    <row r="15" spans="1:9" s="5" customFormat="1" ht="12" customHeight="1">
      <c r="A15" s="10" t="s">
        <v>10</v>
      </c>
      <c r="B15" s="7" t="s">
        <v>11</v>
      </c>
      <c r="C15" s="7"/>
      <c r="D15" s="16">
        <v>560</v>
      </c>
      <c r="E15" s="16"/>
      <c r="F15" s="16">
        <v>605</v>
      </c>
      <c r="G15" s="16"/>
      <c r="H15" s="16">
        <f t="shared" si="0"/>
        <v>1165</v>
      </c>
      <c r="I15" s="23"/>
    </row>
    <row r="16" spans="1:9" s="5" customFormat="1" ht="12" customHeight="1">
      <c r="A16" s="10" t="s">
        <v>12</v>
      </c>
      <c r="B16" s="7" t="s">
        <v>13</v>
      </c>
      <c r="C16" s="7"/>
      <c r="D16" s="16">
        <v>338</v>
      </c>
      <c r="E16" s="16"/>
      <c r="F16" s="16">
        <v>344</v>
      </c>
      <c r="G16" s="16"/>
      <c r="H16" s="16">
        <f t="shared" si="0"/>
        <v>682</v>
      </c>
      <c r="I16" s="23"/>
    </row>
    <row r="17" spans="1:9" s="5" customFormat="1" ht="12" customHeight="1">
      <c r="A17" s="10" t="s">
        <v>14</v>
      </c>
      <c r="B17" s="7" t="s">
        <v>15</v>
      </c>
      <c r="C17" s="7"/>
      <c r="D17" s="16">
        <v>389</v>
      </c>
      <c r="E17" s="16"/>
      <c r="F17" s="16">
        <v>360</v>
      </c>
      <c r="G17" s="16"/>
      <c r="H17" s="16">
        <f t="shared" si="0"/>
        <v>749</v>
      </c>
      <c r="I17" s="23"/>
    </row>
    <row r="18" spans="1:9" s="5" customFormat="1" ht="12" customHeight="1">
      <c r="A18" s="10" t="s">
        <v>16</v>
      </c>
      <c r="B18" s="7" t="s">
        <v>17</v>
      </c>
      <c r="C18" s="7"/>
      <c r="D18" s="16">
        <v>517</v>
      </c>
      <c r="E18" s="16"/>
      <c r="F18" s="16">
        <v>592</v>
      </c>
      <c r="G18" s="16"/>
      <c r="H18" s="16">
        <f t="shared" si="0"/>
        <v>1109</v>
      </c>
      <c r="I18" s="23"/>
    </row>
    <row r="19" spans="1:9" s="5" customFormat="1" ht="12" customHeight="1">
      <c r="A19" s="10" t="s">
        <v>18</v>
      </c>
      <c r="B19" s="7" t="s">
        <v>19</v>
      </c>
      <c r="C19" s="7"/>
      <c r="D19" s="16">
        <v>342</v>
      </c>
      <c r="E19" s="16"/>
      <c r="F19" s="16">
        <v>404</v>
      </c>
      <c r="G19" s="16"/>
      <c r="H19" s="16">
        <f t="shared" si="0"/>
        <v>746</v>
      </c>
      <c r="I19" s="23"/>
    </row>
    <row r="20" spans="1:9" s="5" customFormat="1" ht="12" customHeight="1">
      <c r="A20" s="10" t="s">
        <v>20</v>
      </c>
      <c r="B20" s="7" t="s">
        <v>21</v>
      </c>
      <c r="C20" s="7"/>
      <c r="D20" s="16">
        <v>543</v>
      </c>
      <c r="E20" s="16"/>
      <c r="F20" s="16">
        <v>607</v>
      </c>
      <c r="G20" s="16"/>
      <c r="H20" s="16">
        <f t="shared" si="0"/>
        <v>1150</v>
      </c>
      <c r="I20" s="23"/>
    </row>
    <row r="21" spans="1:9" s="5" customFormat="1" ht="12" customHeight="1">
      <c r="A21" s="10" t="s">
        <v>22</v>
      </c>
      <c r="B21" s="7" t="s">
        <v>23</v>
      </c>
      <c r="C21" s="7"/>
      <c r="D21" s="16">
        <v>376</v>
      </c>
      <c r="E21" s="16"/>
      <c r="F21" s="16">
        <v>424</v>
      </c>
      <c r="G21" s="16"/>
      <c r="H21" s="16">
        <f t="shared" si="0"/>
        <v>800</v>
      </c>
      <c r="I21" s="23"/>
    </row>
    <row r="22" spans="1:9" s="5" customFormat="1" ht="12" customHeight="1">
      <c r="A22" s="10" t="s">
        <v>24</v>
      </c>
      <c r="B22" s="7" t="s">
        <v>25</v>
      </c>
      <c r="C22" s="7"/>
      <c r="D22" s="16">
        <v>192</v>
      </c>
      <c r="E22" s="16"/>
      <c r="F22" s="16">
        <v>220</v>
      </c>
      <c r="G22" s="16"/>
      <c r="H22" s="16">
        <f t="shared" si="0"/>
        <v>412</v>
      </c>
      <c r="I22" s="23"/>
    </row>
    <row r="23" spans="1:9" s="5" customFormat="1" ht="12" customHeight="1">
      <c r="A23" s="10" t="s">
        <v>26</v>
      </c>
      <c r="B23" s="7" t="s">
        <v>27</v>
      </c>
      <c r="C23" s="7"/>
      <c r="D23" s="16">
        <v>300</v>
      </c>
      <c r="E23" s="16"/>
      <c r="F23" s="16">
        <v>325</v>
      </c>
      <c r="G23" s="16"/>
      <c r="H23" s="16">
        <f t="shared" si="0"/>
        <v>625</v>
      </c>
      <c r="I23" s="23"/>
    </row>
    <row r="24" spans="1:9" s="5" customFormat="1" ht="12" customHeight="1">
      <c r="A24" s="10" t="s">
        <v>28</v>
      </c>
      <c r="B24" s="7" t="s">
        <v>29</v>
      </c>
      <c r="C24" s="7"/>
      <c r="D24" s="16">
        <v>543</v>
      </c>
      <c r="E24" s="16"/>
      <c r="F24" s="16">
        <v>615</v>
      </c>
      <c r="G24" s="16"/>
      <c r="H24" s="16">
        <f t="shared" si="0"/>
        <v>1158</v>
      </c>
      <c r="I24" s="23"/>
    </row>
    <row r="25" spans="1:9" s="5" customFormat="1" ht="12" customHeight="1">
      <c r="A25" s="10" t="s">
        <v>30</v>
      </c>
      <c r="B25" s="7" t="s">
        <v>31</v>
      </c>
      <c r="C25" s="7"/>
      <c r="D25" s="16">
        <v>460</v>
      </c>
      <c r="E25" s="16"/>
      <c r="F25" s="16">
        <v>524</v>
      </c>
      <c r="G25" s="16"/>
      <c r="H25" s="16">
        <f t="shared" si="0"/>
        <v>984</v>
      </c>
      <c r="I25" s="23"/>
    </row>
    <row r="26" spans="1:9" s="5" customFormat="1" ht="12" customHeight="1">
      <c r="A26" s="10" t="s">
        <v>32</v>
      </c>
      <c r="B26" s="7" t="s">
        <v>33</v>
      </c>
      <c r="C26" s="7"/>
      <c r="D26" s="16">
        <v>312</v>
      </c>
      <c r="E26" s="16"/>
      <c r="F26" s="16">
        <v>393</v>
      </c>
      <c r="G26" s="16"/>
      <c r="H26" s="16">
        <f t="shared" si="0"/>
        <v>705</v>
      </c>
      <c r="I26" s="23"/>
    </row>
    <row r="27" spans="1:9" s="5" customFormat="1" ht="12" customHeight="1">
      <c r="A27" s="10" t="s">
        <v>34</v>
      </c>
      <c r="B27" s="7" t="s">
        <v>35</v>
      </c>
      <c r="C27" s="7"/>
      <c r="D27" s="16">
        <v>376</v>
      </c>
      <c r="E27" s="16"/>
      <c r="F27" s="16">
        <v>435</v>
      </c>
      <c r="G27" s="16"/>
      <c r="H27" s="16">
        <f t="shared" si="0"/>
        <v>811</v>
      </c>
      <c r="I27" s="23"/>
    </row>
    <row r="28" spans="1:9" s="5" customFormat="1" ht="12" customHeight="1">
      <c r="A28" s="10" t="s">
        <v>36</v>
      </c>
      <c r="B28" s="7" t="s">
        <v>37</v>
      </c>
      <c r="C28" s="7"/>
      <c r="D28" s="16">
        <v>791</v>
      </c>
      <c r="E28" s="16"/>
      <c r="F28" s="16">
        <v>965</v>
      </c>
      <c r="G28" s="16"/>
      <c r="H28" s="16">
        <f t="shared" si="0"/>
        <v>1756</v>
      </c>
      <c r="I28" s="23"/>
    </row>
    <row r="29" spans="1:9" s="5" customFormat="1" ht="12" customHeight="1">
      <c r="A29" s="10" t="s">
        <v>38</v>
      </c>
      <c r="B29" s="7" t="s">
        <v>39</v>
      </c>
      <c r="C29" s="7"/>
      <c r="D29" s="16">
        <v>593</v>
      </c>
      <c r="E29" s="16"/>
      <c r="F29" s="16">
        <v>725</v>
      </c>
      <c r="G29" s="16"/>
      <c r="H29" s="16">
        <f t="shared" si="0"/>
        <v>1318</v>
      </c>
      <c r="I29" s="23"/>
    </row>
    <row r="30" spans="1:9" s="5" customFormat="1" ht="12" customHeight="1">
      <c r="A30" s="10" t="s">
        <v>40</v>
      </c>
      <c r="B30" s="7" t="s">
        <v>41</v>
      </c>
      <c r="C30" s="7"/>
      <c r="D30" s="16">
        <v>513</v>
      </c>
      <c r="E30" s="16"/>
      <c r="F30" s="16">
        <v>630</v>
      </c>
      <c r="G30" s="16"/>
      <c r="H30" s="16">
        <f t="shared" si="0"/>
        <v>1143</v>
      </c>
      <c r="I30" s="23"/>
    </row>
    <row r="31" spans="1:9" s="5" customFormat="1" ht="12" customHeight="1">
      <c r="A31" s="10" t="s">
        <v>42</v>
      </c>
      <c r="B31" s="7" t="s">
        <v>43</v>
      </c>
      <c r="C31" s="7"/>
      <c r="D31" s="16">
        <v>767</v>
      </c>
      <c r="E31" s="16"/>
      <c r="F31" s="16">
        <v>893</v>
      </c>
      <c r="G31" s="16"/>
      <c r="H31" s="16">
        <f t="shared" si="0"/>
        <v>1660</v>
      </c>
      <c r="I31" s="23"/>
    </row>
    <row r="32" spans="1:9" s="5" customFormat="1" ht="12" customHeight="1">
      <c r="A32" s="10" t="s">
        <v>44</v>
      </c>
      <c r="B32" s="7" t="s">
        <v>45</v>
      </c>
      <c r="C32" s="7"/>
      <c r="D32" s="16">
        <v>399</v>
      </c>
      <c r="E32" s="16"/>
      <c r="F32" s="16">
        <v>451</v>
      </c>
      <c r="G32" s="16"/>
      <c r="H32" s="16">
        <f t="shared" si="0"/>
        <v>850</v>
      </c>
      <c r="I32" s="23"/>
    </row>
    <row r="33" spans="1:10" s="5" customFormat="1" ht="12" customHeight="1">
      <c r="A33" s="10" t="s">
        <v>46</v>
      </c>
      <c r="B33" s="7" t="s">
        <v>47</v>
      </c>
      <c r="C33" s="7"/>
      <c r="D33" s="16">
        <v>286</v>
      </c>
      <c r="E33" s="16"/>
      <c r="F33" s="16">
        <v>327</v>
      </c>
      <c r="G33" s="16"/>
      <c r="H33" s="16">
        <f t="shared" si="0"/>
        <v>613</v>
      </c>
      <c r="I33" s="23"/>
    </row>
    <row r="34" spans="1:10" s="5" customFormat="1" ht="12" customHeight="1">
      <c r="A34" s="10" t="s">
        <v>48</v>
      </c>
      <c r="B34" s="7" t="s">
        <v>49</v>
      </c>
      <c r="C34" s="7"/>
      <c r="D34" s="16">
        <v>519</v>
      </c>
      <c r="E34" s="16"/>
      <c r="F34" s="16">
        <v>618</v>
      </c>
      <c r="G34" s="16"/>
      <c r="H34" s="16">
        <f t="shared" si="0"/>
        <v>1137</v>
      </c>
      <c r="I34" s="23"/>
    </row>
    <row r="35" spans="1:10" s="5" customFormat="1" ht="12" customHeight="1">
      <c r="A35" s="10" t="s">
        <v>50</v>
      </c>
      <c r="B35" s="7" t="s">
        <v>51</v>
      </c>
      <c r="C35" s="7"/>
      <c r="D35" s="16">
        <v>324</v>
      </c>
      <c r="E35" s="16"/>
      <c r="F35" s="16">
        <v>358</v>
      </c>
      <c r="G35" s="16"/>
      <c r="H35" s="16">
        <f t="shared" si="0"/>
        <v>682</v>
      </c>
      <c r="I35" s="23"/>
    </row>
    <row r="36" spans="1:10" s="5" customFormat="1" ht="12" customHeight="1">
      <c r="A36" s="10" t="s">
        <v>52</v>
      </c>
      <c r="B36" s="7" t="s">
        <v>53</v>
      </c>
      <c r="C36" s="7"/>
      <c r="D36" s="16">
        <v>290</v>
      </c>
      <c r="E36" s="16"/>
      <c r="F36" s="16">
        <v>358</v>
      </c>
      <c r="G36" s="16"/>
      <c r="H36" s="16">
        <f t="shared" si="0"/>
        <v>648</v>
      </c>
      <c r="I36" s="23"/>
    </row>
    <row r="37" spans="1:10" s="5" customFormat="1" ht="12" customHeight="1">
      <c r="A37" s="10" t="s">
        <v>54</v>
      </c>
      <c r="B37" s="7" t="s">
        <v>55</v>
      </c>
      <c r="C37" s="7"/>
      <c r="D37" s="16">
        <v>277</v>
      </c>
      <c r="E37" s="16"/>
      <c r="F37" s="16">
        <v>365</v>
      </c>
      <c r="G37" s="16"/>
      <c r="H37" s="16">
        <f t="shared" si="0"/>
        <v>642</v>
      </c>
      <c r="I37" s="23"/>
    </row>
    <row r="38" spans="1:10" s="5" customFormat="1" ht="12" customHeight="1">
      <c r="A38" s="10" t="s">
        <v>56</v>
      </c>
      <c r="B38" s="7" t="s">
        <v>57</v>
      </c>
      <c r="C38" s="7"/>
      <c r="D38" s="16">
        <v>538</v>
      </c>
      <c r="E38" s="16"/>
      <c r="F38" s="16">
        <v>691</v>
      </c>
      <c r="G38" s="16"/>
      <c r="H38" s="16">
        <f t="shared" si="0"/>
        <v>1229</v>
      </c>
      <c r="I38" s="23"/>
    </row>
    <row r="39" spans="1:10" s="5" customFormat="1" ht="12" customHeight="1">
      <c r="A39" s="10" t="s">
        <v>58</v>
      </c>
      <c r="B39" s="7" t="s">
        <v>59</v>
      </c>
      <c r="C39" s="7"/>
      <c r="D39" s="16">
        <v>537</v>
      </c>
      <c r="E39" s="16"/>
      <c r="F39" s="16">
        <v>637</v>
      </c>
      <c r="G39" s="16"/>
      <c r="H39" s="16">
        <f t="shared" si="0"/>
        <v>1174</v>
      </c>
      <c r="I39" s="23"/>
    </row>
    <row r="40" spans="1:10" s="5" customFormat="1" ht="12" customHeight="1">
      <c r="A40" s="10" t="s">
        <v>60</v>
      </c>
      <c r="B40" s="7" t="s">
        <v>61</v>
      </c>
      <c r="C40" s="7"/>
      <c r="D40" s="16">
        <v>57</v>
      </c>
      <c r="E40" s="16"/>
      <c r="F40" s="16">
        <v>93</v>
      </c>
      <c r="G40" s="16"/>
      <c r="H40" s="16">
        <f t="shared" si="0"/>
        <v>150</v>
      </c>
      <c r="I40" s="23"/>
    </row>
    <row r="41" spans="1:10" s="5" customFormat="1" ht="12" customHeight="1">
      <c r="A41" s="10" t="s">
        <v>62</v>
      </c>
      <c r="B41" s="7" t="s">
        <v>63</v>
      </c>
      <c r="C41" s="7"/>
      <c r="D41" s="16">
        <v>303</v>
      </c>
      <c r="E41" s="16"/>
      <c r="F41" s="16">
        <v>393</v>
      </c>
      <c r="G41" s="16"/>
      <c r="H41" s="16">
        <f t="shared" si="0"/>
        <v>696</v>
      </c>
      <c r="I41" s="23"/>
    </row>
    <row r="42" spans="1:10" s="5" customFormat="1" ht="12" customHeight="1">
      <c r="A42" s="10" t="s">
        <v>64</v>
      </c>
      <c r="B42" s="7" t="s">
        <v>65</v>
      </c>
      <c r="C42" s="7"/>
      <c r="D42" s="16">
        <v>95</v>
      </c>
      <c r="E42" s="16"/>
      <c r="F42" s="16">
        <v>124</v>
      </c>
      <c r="G42" s="16"/>
      <c r="H42" s="16">
        <f t="shared" si="0"/>
        <v>219</v>
      </c>
      <c r="I42" s="23"/>
    </row>
    <row r="43" spans="1:10" s="5" customFormat="1" ht="12" customHeight="1">
      <c r="A43" s="10" t="s">
        <v>66</v>
      </c>
      <c r="B43" s="7" t="s">
        <v>67</v>
      </c>
      <c r="C43" s="7"/>
      <c r="D43" s="16">
        <v>1049</v>
      </c>
      <c r="E43" s="16"/>
      <c r="F43" s="16">
        <v>1222</v>
      </c>
      <c r="G43" s="16"/>
      <c r="H43" s="16">
        <f t="shared" si="0"/>
        <v>2271</v>
      </c>
      <c r="I43" s="23"/>
    </row>
    <row r="44" spans="1:10" s="5" customFormat="1" ht="12" customHeight="1">
      <c r="A44" s="10" t="s">
        <v>68</v>
      </c>
      <c r="B44" s="7" t="s">
        <v>69</v>
      </c>
      <c r="C44" s="7"/>
      <c r="D44" s="16">
        <v>187</v>
      </c>
      <c r="E44" s="16"/>
      <c r="F44" s="16">
        <v>226</v>
      </c>
      <c r="G44" s="16"/>
      <c r="H44" s="16">
        <f t="shared" si="0"/>
        <v>413</v>
      </c>
      <c r="I44" s="23"/>
    </row>
    <row r="45" spans="1:10" s="5" customFormat="1" ht="12" customHeight="1" thickBot="1">
      <c r="A45" s="11" t="s">
        <v>70</v>
      </c>
      <c r="B45" s="8" t="s">
        <v>71</v>
      </c>
      <c r="C45" s="8"/>
      <c r="D45" s="15">
        <v>158</v>
      </c>
      <c r="E45" s="15"/>
      <c r="F45" s="15">
        <v>203</v>
      </c>
      <c r="G45" s="15"/>
      <c r="H45" s="15">
        <f t="shared" si="0"/>
        <v>361</v>
      </c>
      <c r="I45" s="24"/>
    </row>
    <row r="46" spans="1:10" s="5" customFormat="1" ht="12" thickBot="1">
      <c r="A46" s="75" t="s">
        <v>89</v>
      </c>
      <c r="B46" s="75"/>
      <c r="C46" s="62">
        <v>2017</v>
      </c>
      <c r="D46" s="43">
        <f>SUM(D11:D45)</f>
        <v>14756</v>
      </c>
      <c r="E46" s="43"/>
      <c r="F46" s="43">
        <f>SUM(F11:F45)</f>
        <v>17201</v>
      </c>
      <c r="G46" s="43"/>
      <c r="H46" s="63">
        <f>SUM(H11:H45)</f>
        <v>31957</v>
      </c>
      <c r="I46" s="58"/>
      <c r="J46" s="41"/>
    </row>
    <row r="47" spans="1:10" s="5" customFormat="1" ht="11.25">
      <c r="A47" s="75"/>
      <c r="B47" s="75"/>
      <c r="C47" s="62">
        <v>2016</v>
      </c>
      <c r="D47" s="43">
        <v>11746</v>
      </c>
      <c r="E47" s="43"/>
      <c r="F47" s="43">
        <v>13329</v>
      </c>
      <c r="G47" s="43"/>
      <c r="H47" s="63">
        <v>25075</v>
      </c>
      <c r="I47" s="58"/>
      <c r="J47" s="41"/>
    </row>
    <row r="48" spans="1:10" s="5" customFormat="1" ht="11.25">
      <c r="A48" s="42"/>
      <c r="B48" s="42"/>
      <c r="C48" s="40">
        <v>2015</v>
      </c>
      <c r="D48" s="43">
        <v>11114</v>
      </c>
      <c r="E48" s="43"/>
      <c r="F48" s="43">
        <v>12459</v>
      </c>
      <c r="G48" s="43"/>
      <c r="H48" s="43">
        <v>23573</v>
      </c>
      <c r="I48" s="58"/>
      <c r="J48" s="41"/>
    </row>
    <row r="49" spans="1:21" s="5" customFormat="1" ht="11.25">
      <c r="A49" s="42"/>
      <c r="B49" s="42"/>
      <c r="C49" s="40">
        <v>2014</v>
      </c>
      <c r="D49" s="43">
        <v>11936</v>
      </c>
      <c r="E49" s="43"/>
      <c r="F49" s="43">
        <v>13270</v>
      </c>
      <c r="G49" s="43"/>
      <c r="H49" s="43">
        <v>25206</v>
      </c>
      <c r="I49" s="58"/>
      <c r="J49" s="41"/>
    </row>
    <row r="50" spans="1:21" s="5" customFormat="1" ht="11.25">
      <c r="A50" s="42"/>
      <c r="B50" s="42"/>
      <c r="C50" s="40">
        <v>2013</v>
      </c>
      <c r="D50" s="43">
        <v>14170</v>
      </c>
      <c r="E50" s="43"/>
      <c r="F50" s="43">
        <v>15489</v>
      </c>
      <c r="G50" s="43"/>
      <c r="H50" s="43">
        <v>29659</v>
      </c>
      <c r="I50" s="58"/>
      <c r="J50" s="41"/>
    </row>
    <row r="51" spans="1:21" s="5" customFormat="1" ht="11.25">
      <c r="A51" s="42"/>
      <c r="B51" s="42"/>
      <c r="C51" s="40">
        <v>2012</v>
      </c>
      <c r="D51" s="43">
        <v>14228</v>
      </c>
      <c r="E51" s="43"/>
      <c r="F51" s="43">
        <v>15441</v>
      </c>
      <c r="G51" s="43"/>
      <c r="H51" s="43">
        <v>29669</v>
      </c>
      <c r="I51" s="58"/>
      <c r="J51" s="41"/>
    </row>
    <row r="52" spans="1:21" s="5" customFormat="1" ht="11.25">
      <c r="A52" s="4" t="s">
        <v>136</v>
      </c>
      <c r="B52" s="7"/>
      <c r="C52" s="7"/>
      <c r="D52" s="7"/>
      <c r="E52" s="7"/>
      <c r="F52" s="7"/>
      <c r="G52" s="7"/>
      <c r="H52" s="7"/>
      <c r="I52" s="7"/>
    </row>
    <row r="53" spans="1:21" s="5" customFormat="1" ht="11.25">
      <c r="A53" s="13" t="s">
        <v>140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 ht="10.5" customHeight="1"/>
    <row r="55" spans="1:21" ht="10.5" customHeight="1"/>
    <row r="56" spans="1:21" ht="10.5" customHeight="1"/>
  </sheetData>
  <mergeCells count="20">
    <mergeCell ref="A47:B47"/>
    <mergeCell ref="A7:C7"/>
    <mergeCell ref="D7:G7"/>
    <mergeCell ref="H7:I7"/>
    <mergeCell ref="C1:I1"/>
    <mergeCell ref="C2:I2"/>
    <mergeCell ref="C3:I3"/>
    <mergeCell ref="C4:I4"/>
    <mergeCell ref="D6:G6"/>
    <mergeCell ref="A8:C8"/>
    <mergeCell ref="D8:E8"/>
    <mergeCell ref="F8:G8"/>
    <mergeCell ref="H8:I8"/>
    <mergeCell ref="D9:E9"/>
    <mergeCell ref="F9:G9"/>
    <mergeCell ref="A10:C10"/>
    <mergeCell ref="D10:E10"/>
    <mergeCell ref="F10:G10"/>
    <mergeCell ref="H10:I10"/>
    <mergeCell ref="A46:B46"/>
  </mergeCells>
  <printOptions horizontalCentered="1"/>
  <pageMargins left="0.47244094488188998" right="0.39370078740157499" top="0.196850393700787" bottom="0.39370078740157499" header="0.511811023622047" footer="0.39370078740157499"/>
  <pageSetup paperSize="13" orientation="portrait" horizontalDpi="180" verticalDpi="180" r:id="rId1"/>
  <headerFooter scaleWithDoc="0">
    <oddFooter>&amp;C&amp;G&amp;"Arial,Regular"&amp;9 150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8"/>
  <sheetViews>
    <sheetView view="pageBreakPreview" topLeftCell="A19" zoomScaleSheetLayoutView="100" workbookViewId="0">
      <selection activeCell="Y9" sqref="Y9:AH45"/>
    </sheetView>
  </sheetViews>
  <sheetFormatPr defaultRowHeight="15.75"/>
  <cols>
    <col min="1" max="1" width="3.875" style="14" customWidth="1"/>
    <col min="2" max="2" width="6.75" style="14" customWidth="1"/>
    <col min="3" max="3" width="5.5" style="14" customWidth="1"/>
    <col min="4" max="4" width="6.125" style="14" customWidth="1"/>
    <col min="5" max="5" width="0.375" style="14" customWidth="1"/>
    <col min="6" max="6" width="4.125" style="14" bestFit="1" customWidth="1"/>
    <col min="7" max="7" width="0.5" style="14" customWidth="1"/>
    <col min="8" max="8" width="5.125" style="14" customWidth="1"/>
    <col min="9" max="9" width="1" style="14" customWidth="1"/>
    <col min="10" max="10" width="5" style="14" customWidth="1"/>
    <col min="11" max="11" width="0.375" style="14" customWidth="1"/>
    <col min="12" max="12" width="5.125" style="14" customWidth="1"/>
    <col min="13" max="13" width="0.375" style="14" customWidth="1"/>
    <col min="14" max="14" width="5.875" style="14" customWidth="1"/>
    <col min="15" max="15" width="0.5" style="14" customWidth="1"/>
    <col min="16" max="16" width="5.875" style="14" customWidth="1"/>
    <col min="17" max="17" width="2.25" style="14" customWidth="1"/>
    <col min="18" max="18" width="5" style="14" customWidth="1"/>
    <col min="19" max="19" width="0.625" style="14" customWidth="1"/>
    <col min="20" max="20" width="5.25" style="14" bestFit="1" customWidth="1"/>
    <col min="21" max="21" width="0.625" style="14" customWidth="1"/>
    <col min="22" max="22" width="6.125" style="14" customWidth="1"/>
    <col min="23" max="23" width="0.375" style="14" customWidth="1"/>
    <col min="24" max="16384" width="9" style="14"/>
  </cols>
  <sheetData>
    <row r="1" spans="1:23" s="5" customFormat="1" ht="11.25">
      <c r="A1" s="3" t="s">
        <v>0</v>
      </c>
      <c r="B1" s="4" t="s">
        <v>112</v>
      </c>
      <c r="C1" s="25"/>
      <c r="D1" s="81" t="s">
        <v>102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</row>
    <row r="2" spans="1:23" s="5" customFormat="1" ht="11.25">
      <c r="A2" s="6" t="s">
        <v>1</v>
      </c>
      <c r="B2" s="7"/>
      <c r="C2" s="25"/>
      <c r="D2" s="81" t="s">
        <v>146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</row>
    <row r="3" spans="1:23" s="5" customFormat="1" ht="11.25">
      <c r="A3" s="7"/>
      <c r="B3" s="7"/>
      <c r="C3" s="26"/>
      <c r="D3" s="82" t="s">
        <v>113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</row>
    <row r="4" spans="1:23" s="5" customFormat="1" ht="11.25">
      <c r="A4" s="7"/>
      <c r="B4" s="7"/>
      <c r="C4" s="26"/>
      <c r="D4" s="82" t="s">
        <v>145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</row>
    <row r="5" spans="1:23" s="5" customFormat="1" ht="12" thickBo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s="5" customFormat="1" ht="11.25">
      <c r="A6" s="78"/>
      <c r="B6" s="78"/>
      <c r="C6" s="78"/>
      <c r="D6" s="87" t="s">
        <v>114</v>
      </c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</row>
    <row r="7" spans="1:23" s="5" customFormat="1" ht="11.25">
      <c r="A7" s="78" t="s">
        <v>81</v>
      </c>
      <c r="B7" s="78"/>
      <c r="C7" s="78"/>
      <c r="D7" s="76" t="s">
        <v>115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8" t="s">
        <v>79</v>
      </c>
      <c r="W7" s="78"/>
    </row>
    <row r="8" spans="1:23" s="5" customFormat="1" ht="18" customHeight="1">
      <c r="A8" s="74" t="s">
        <v>72</v>
      </c>
      <c r="B8" s="74"/>
      <c r="C8" s="74"/>
      <c r="D8" s="88" t="s">
        <v>116</v>
      </c>
      <c r="E8" s="88"/>
      <c r="F8" s="88" t="s">
        <v>117</v>
      </c>
      <c r="G8" s="88"/>
      <c r="H8" s="88" t="s">
        <v>118</v>
      </c>
      <c r="I8" s="88"/>
      <c r="J8" s="88" t="s">
        <v>150</v>
      </c>
      <c r="K8" s="88"/>
      <c r="L8" s="88" t="s">
        <v>83</v>
      </c>
      <c r="M8" s="88"/>
      <c r="N8" s="88" t="s">
        <v>151</v>
      </c>
      <c r="O8" s="88"/>
      <c r="P8" s="88" t="s">
        <v>119</v>
      </c>
      <c r="Q8" s="88"/>
      <c r="R8" s="88" t="s">
        <v>120</v>
      </c>
      <c r="S8" s="88"/>
      <c r="T8" s="88" t="s">
        <v>152</v>
      </c>
      <c r="U8" s="88"/>
      <c r="V8" s="89" t="s">
        <v>84</v>
      </c>
      <c r="W8" s="89"/>
    </row>
    <row r="9" spans="1:23" s="5" customFormat="1" ht="15.75" customHeight="1">
      <c r="A9" s="49"/>
      <c r="B9" s="49"/>
      <c r="C9" s="49"/>
      <c r="D9" s="54"/>
      <c r="E9" s="54"/>
      <c r="F9" s="66" t="s">
        <v>121</v>
      </c>
      <c r="G9" s="54"/>
      <c r="H9" s="65"/>
      <c r="I9" s="65"/>
      <c r="J9" s="56"/>
      <c r="K9" s="56"/>
      <c r="L9" s="56"/>
      <c r="M9" s="56"/>
      <c r="N9" s="56"/>
      <c r="O9" s="56"/>
      <c r="P9" s="90" t="s">
        <v>122</v>
      </c>
      <c r="Q9" s="90"/>
      <c r="R9" s="56" t="s">
        <v>84</v>
      </c>
      <c r="S9" s="56"/>
      <c r="T9" s="56"/>
      <c r="U9" s="56"/>
      <c r="V9" s="56"/>
      <c r="W9" s="56"/>
    </row>
    <row r="10" spans="1:23" s="5" customFormat="1" ht="12" thickBot="1">
      <c r="A10" s="77" t="s">
        <v>73</v>
      </c>
      <c r="B10" s="77"/>
      <c r="C10" s="77"/>
      <c r="D10" s="77" t="s">
        <v>74</v>
      </c>
      <c r="E10" s="77"/>
      <c r="F10" s="77" t="s">
        <v>75</v>
      </c>
      <c r="G10" s="77"/>
      <c r="H10" s="77" t="s">
        <v>76</v>
      </c>
      <c r="I10" s="77"/>
      <c r="J10" s="84" t="s">
        <v>77</v>
      </c>
      <c r="K10" s="77"/>
      <c r="L10" s="84" t="s">
        <v>78</v>
      </c>
      <c r="M10" s="77"/>
      <c r="N10" s="84" t="s">
        <v>85</v>
      </c>
      <c r="O10" s="77"/>
      <c r="P10" s="84" t="s">
        <v>86</v>
      </c>
      <c r="Q10" s="77"/>
      <c r="R10" s="84" t="s">
        <v>87</v>
      </c>
      <c r="S10" s="77"/>
      <c r="T10" s="84" t="s">
        <v>88</v>
      </c>
      <c r="U10" s="77"/>
      <c r="V10" s="84" t="s">
        <v>123</v>
      </c>
      <c r="W10" s="77"/>
    </row>
    <row r="11" spans="1:23" s="5" customFormat="1" ht="12.75" customHeight="1">
      <c r="A11" s="10" t="s">
        <v>2</v>
      </c>
      <c r="B11" s="7" t="s">
        <v>3</v>
      </c>
      <c r="C11" s="7"/>
      <c r="D11" s="16">
        <v>187</v>
      </c>
      <c r="E11" s="16"/>
      <c r="F11" s="16">
        <v>4</v>
      </c>
      <c r="G11" s="16"/>
      <c r="H11" s="16">
        <v>156</v>
      </c>
      <c r="I11" s="16"/>
      <c r="J11" s="16">
        <v>346</v>
      </c>
      <c r="K11" s="16"/>
      <c r="L11" s="16">
        <v>137</v>
      </c>
      <c r="M11" s="16"/>
      <c r="N11" s="16">
        <v>186</v>
      </c>
      <c r="O11" s="16"/>
      <c r="P11" s="16">
        <v>4</v>
      </c>
      <c r="Q11" s="16"/>
      <c r="R11" s="16">
        <v>25</v>
      </c>
      <c r="S11" s="16"/>
      <c r="T11" s="16">
        <v>69</v>
      </c>
      <c r="U11" s="16"/>
      <c r="V11" s="16">
        <f>SUM(D11:T11)</f>
        <v>1114</v>
      </c>
      <c r="W11" s="7"/>
    </row>
    <row r="12" spans="1:23" s="5" customFormat="1" ht="12.75" customHeight="1">
      <c r="A12" s="10" t="s">
        <v>4</v>
      </c>
      <c r="B12" s="7" t="s">
        <v>5</v>
      </c>
      <c r="C12" s="7"/>
      <c r="D12" s="16">
        <v>290</v>
      </c>
      <c r="E12" s="16"/>
      <c r="F12" s="16">
        <v>19</v>
      </c>
      <c r="G12" s="16"/>
      <c r="H12" s="16">
        <v>155</v>
      </c>
      <c r="I12" s="16"/>
      <c r="J12" s="16">
        <v>157</v>
      </c>
      <c r="K12" s="16"/>
      <c r="L12" s="16">
        <v>199</v>
      </c>
      <c r="M12" s="16"/>
      <c r="N12" s="16">
        <v>194</v>
      </c>
      <c r="O12" s="16"/>
      <c r="P12" s="16">
        <v>5</v>
      </c>
      <c r="Q12" s="16"/>
      <c r="R12" s="16">
        <v>37</v>
      </c>
      <c r="S12" s="16"/>
      <c r="T12" s="16">
        <v>133</v>
      </c>
      <c r="U12" s="16"/>
      <c r="V12" s="16">
        <f t="shared" ref="V12:V45" si="0">SUM(D12:T12)</f>
        <v>1189</v>
      </c>
      <c r="W12" s="7"/>
    </row>
    <row r="13" spans="1:23" s="5" customFormat="1" ht="12.75" customHeight="1">
      <c r="A13" s="10" t="s">
        <v>6</v>
      </c>
      <c r="B13" s="7" t="s">
        <v>7</v>
      </c>
      <c r="C13" s="7"/>
      <c r="D13" s="16">
        <v>279</v>
      </c>
      <c r="E13" s="16"/>
      <c r="F13" s="16">
        <v>12</v>
      </c>
      <c r="G13" s="16"/>
      <c r="H13" s="16">
        <v>123</v>
      </c>
      <c r="I13" s="16"/>
      <c r="J13" s="16">
        <v>85</v>
      </c>
      <c r="K13" s="16"/>
      <c r="L13" s="16">
        <v>144</v>
      </c>
      <c r="M13" s="16"/>
      <c r="N13" s="16">
        <v>111</v>
      </c>
      <c r="O13" s="16"/>
      <c r="P13" s="16">
        <v>1</v>
      </c>
      <c r="Q13" s="16"/>
      <c r="R13" s="16">
        <v>12</v>
      </c>
      <c r="S13" s="16"/>
      <c r="T13" s="16">
        <v>73</v>
      </c>
      <c r="U13" s="16"/>
      <c r="V13" s="16">
        <f t="shared" si="0"/>
        <v>840</v>
      </c>
      <c r="W13" s="7"/>
    </row>
    <row r="14" spans="1:23" s="5" customFormat="1" ht="12.75" customHeight="1">
      <c r="A14" s="10" t="s">
        <v>8</v>
      </c>
      <c r="B14" s="7" t="s">
        <v>9</v>
      </c>
      <c r="C14" s="7"/>
      <c r="D14" s="16">
        <v>163</v>
      </c>
      <c r="E14" s="16"/>
      <c r="F14" s="16">
        <v>6</v>
      </c>
      <c r="G14" s="16"/>
      <c r="H14" s="16">
        <v>117</v>
      </c>
      <c r="I14" s="16"/>
      <c r="J14" s="16">
        <v>211</v>
      </c>
      <c r="K14" s="16"/>
      <c r="L14" s="16">
        <v>57</v>
      </c>
      <c r="M14" s="16"/>
      <c r="N14" s="16">
        <v>122</v>
      </c>
      <c r="O14" s="16"/>
      <c r="P14" s="16">
        <v>1</v>
      </c>
      <c r="Q14" s="16"/>
      <c r="R14" s="16">
        <v>5</v>
      </c>
      <c r="S14" s="16"/>
      <c r="T14" s="16">
        <v>74</v>
      </c>
      <c r="U14" s="16"/>
      <c r="V14" s="16">
        <f t="shared" si="0"/>
        <v>756</v>
      </c>
      <c r="W14" s="7"/>
    </row>
    <row r="15" spans="1:23" s="5" customFormat="1" ht="12.75" customHeight="1">
      <c r="A15" s="10" t="s">
        <v>10</v>
      </c>
      <c r="B15" s="7" t="s">
        <v>11</v>
      </c>
      <c r="C15" s="7"/>
      <c r="D15" s="16">
        <v>232</v>
      </c>
      <c r="E15" s="16"/>
      <c r="F15" s="16">
        <v>19</v>
      </c>
      <c r="G15" s="16"/>
      <c r="H15" s="16">
        <v>132</v>
      </c>
      <c r="I15" s="16"/>
      <c r="J15" s="16">
        <v>338</v>
      </c>
      <c r="K15" s="16"/>
      <c r="L15" s="16">
        <v>171</v>
      </c>
      <c r="M15" s="16"/>
      <c r="N15" s="16">
        <v>163</v>
      </c>
      <c r="O15" s="16"/>
      <c r="P15" s="16">
        <v>7</v>
      </c>
      <c r="Q15" s="16"/>
      <c r="R15" s="16">
        <v>6</v>
      </c>
      <c r="S15" s="16"/>
      <c r="T15" s="16">
        <v>97</v>
      </c>
      <c r="U15" s="16"/>
      <c r="V15" s="16">
        <f t="shared" si="0"/>
        <v>1165</v>
      </c>
      <c r="W15" s="7"/>
    </row>
    <row r="16" spans="1:23" s="5" customFormat="1" ht="12.75" customHeight="1">
      <c r="A16" s="10" t="s">
        <v>12</v>
      </c>
      <c r="B16" s="7" t="s">
        <v>13</v>
      </c>
      <c r="C16" s="7"/>
      <c r="D16" s="16">
        <v>224</v>
      </c>
      <c r="E16" s="16"/>
      <c r="F16" s="16">
        <v>15</v>
      </c>
      <c r="G16" s="16"/>
      <c r="H16" s="16">
        <v>41</v>
      </c>
      <c r="I16" s="16"/>
      <c r="J16" s="16">
        <v>110</v>
      </c>
      <c r="K16" s="16"/>
      <c r="L16" s="16">
        <v>136</v>
      </c>
      <c r="M16" s="16"/>
      <c r="N16" s="16">
        <v>85</v>
      </c>
      <c r="O16" s="16"/>
      <c r="P16" s="16">
        <v>10</v>
      </c>
      <c r="Q16" s="16"/>
      <c r="R16" s="16">
        <v>4</v>
      </c>
      <c r="S16" s="16"/>
      <c r="T16" s="16">
        <v>57</v>
      </c>
      <c r="U16" s="16"/>
      <c r="V16" s="16">
        <f t="shared" si="0"/>
        <v>682</v>
      </c>
      <c r="W16" s="7"/>
    </row>
    <row r="17" spans="1:23" s="5" customFormat="1" ht="12.75" customHeight="1">
      <c r="A17" s="10" t="s">
        <v>14</v>
      </c>
      <c r="B17" s="7" t="s">
        <v>15</v>
      </c>
      <c r="C17" s="7"/>
      <c r="D17" s="16">
        <v>122</v>
      </c>
      <c r="E17" s="16"/>
      <c r="F17" s="16">
        <v>5</v>
      </c>
      <c r="G17" s="16"/>
      <c r="H17" s="16">
        <v>148</v>
      </c>
      <c r="I17" s="16"/>
      <c r="J17" s="16">
        <v>271</v>
      </c>
      <c r="K17" s="16"/>
      <c r="L17" s="16">
        <v>41</v>
      </c>
      <c r="M17" s="16"/>
      <c r="N17" s="16">
        <v>105</v>
      </c>
      <c r="O17" s="16"/>
      <c r="P17" s="16">
        <v>1</v>
      </c>
      <c r="Q17" s="16"/>
      <c r="R17" s="16">
        <v>10</v>
      </c>
      <c r="S17" s="16"/>
      <c r="T17" s="16">
        <v>46</v>
      </c>
      <c r="U17" s="16"/>
      <c r="V17" s="16">
        <f t="shared" si="0"/>
        <v>749</v>
      </c>
      <c r="W17" s="7"/>
    </row>
    <row r="18" spans="1:23" s="5" customFormat="1" ht="12.75" customHeight="1">
      <c r="A18" s="10" t="s">
        <v>16</v>
      </c>
      <c r="B18" s="7" t="s">
        <v>17</v>
      </c>
      <c r="C18" s="7"/>
      <c r="D18" s="16">
        <v>246</v>
      </c>
      <c r="E18" s="16"/>
      <c r="F18" s="16">
        <v>24</v>
      </c>
      <c r="G18" s="16"/>
      <c r="H18" s="16">
        <v>78</v>
      </c>
      <c r="I18" s="16"/>
      <c r="J18" s="16">
        <v>191</v>
      </c>
      <c r="K18" s="16"/>
      <c r="L18" s="16">
        <v>254</v>
      </c>
      <c r="M18" s="16"/>
      <c r="N18" s="16">
        <v>149</v>
      </c>
      <c r="O18" s="16"/>
      <c r="P18" s="16">
        <v>4</v>
      </c>
      <c r="Q18" s="16"/>
      <c r="R18" s="16">
        <v>11</v>
      </c>
      <c r="S18" s="16"/>
      <c r="T18" s="16">
        <v>152</v>
      </c>
      <c r="U18" s="16"/>
      <c r="V18" s="16">
        <f t="shared" si="0"/>
        <v>1109</v>
      </c>
      <c r="W18" s="7"/>
    </row>
    <row r="19" spans="1:23" s="5" customFormat="1" ht="12.75" customHeight="1">
      <c r="A19" s="10" t="s">
        <v>18</v>
      </c>
      <c r="B19" s="7" t="s">
        <v>19</v>
      </c>
      <c r="C19" s="7"/>
      <c r="D19" s="16">
        <v>192</v>
      </c>
      <c r="E19" s="16"/>
      <c r="F19" s="16">
        <v>11</v>
      </c>
      <c r="G19" s="16"/>
      <c r="H19" s="16">
        <v>55</v>
      </c>
      <c r="I19" s="16"/>
      <c r="J19" s="16">
        <v>117</v>
      </c>
      <c r="K19" s="16"/>
      <c r="L19" s="16">
        <v>165</v>
      </c>
      <c r="M19" s="16"/>
      <c r="N19" s="16">
        <v>118</v>
      </c>
      <c r="O19" s="16"/>
      <c r="P19" s="16">
        <v>2</v>
      </c>
      <c r="Q19" s="16"/>
      <c r="R19" s="16">
        <v>12</v>
      </c>
      <c r="S19" s="16"/>
      <c r="T19" s="16">
        <v>74</v>
      </c>
      <c r="U19" s="16"/>
      <c r="V19" s="16">
        <f t="shared" si="0"/>
        <v>746</v>
      </c>
      <c r="W19" s="7"/>
    </row>
    <row r="20" spans="1:23" s="5" customFormat="1" ht="12.75" customHeight="1">
      <c r="A20" s="10" t="s">
        <v>20</v>
      </c>
      <c r="B20" s="7" t="s">
        <v>21</v>
      </c>
      <c r="C20" s="7"/>
      <c r="D20" s="16">
        <v>369</v>
      </c>
      <c r="E20" s="16"/>
      <c r="F20" s="16">
        <v>20</v>
      </c>
      <c r="G20" s="16"/>
      <c r="H20" s="16">
        <v>120</v>
      </c>
      <c r="I20" s="16"/>
      <c r="J20" s="16">
        <v>55</v>
      </c>
      <c r="K20" s="16"/>
      <c r="L20" s="16">
        <v>285</v>
      </c>
      <c r="M20" s="16"/>
      <c r="N20" s="16">
        <v>175</v>
      </c>
      <c r="O20" s="16"/>
      <c r="P20" s="16">
        <v>14</v>
      </c>
      <c r="Q20" s="16"/>
      <c r="R20" s="16">
        <v>20</v>
      </c>
      <c r="S20" s="16"/>
      <c r="T20" s="16">
        <v>92</v>
      </c>
      <c r="U20" s="16"/>
      <c r="V20" s="16">
        <f t="shared" si="0"/>
        <v>1150</v>
      </c>
      <c r="W20" s="7"/>
    </row>
    <row r="21" spans="1:23" s="5" customFormat="1" ht="12.75" customHeight="1">
      <c r="A21" s="10" t="s">
        <v>22</v>
      </c>
      <c r="B21" s="7" t="s">
        <v>23</v>
      </c>
      <c r="C21" s="7"/>
      <c r="D21" s="16">
        <v>230</v>
      </c>
      <c r="E21" s="16"/>
      <c r="F21" s="16">
        <v>11</v>
      </c>
      <c r="G21" s="16"/>
      <c r="H21" s="16">
        <v>58</v>
      </c>
      <c r="I21" s="16"/>
      <c r="J21" s="16">
        <v>38</v>
      </c>
      <c r="K21" s="16"/>
      <c r="L21" s="16">
        <v>255</v>
      </c>
      <c r="M21" s="16"/>
      <c r="N21" s="16">
        <v>115</v>
      </c>
      <c r="O21" s="16"/>
      <c r="P21" s="16">
        <v>0</v>
      </c>
      <c r="Q21" s="16"/>
      <c r="R21" s="16">
        <v>23</v>
      </c>
      <c r="S21" s="16"/>
      <c r="T21" s="16">
        <v>70</v>
      </c>
      <c r="U21" s="16"/>
      <c r="V21" s="16">
        <f t="shared" si="0"/>
        <v>800</v>
      </c>
      <c r="W21" s="7"/>
    </row>
    <row r="22" spans="1:23" s="5" customFormat="1" ht="12.75" customHeight="1">
      <c r="A22" s="10" t="s">
        <v>24</v>
      </c>
      <c r="B22" s="7" t="s">
        <v>25</v>
      </c>
      <c r="C22" s="7"/>
      <c r="D22" s="16">
        <v>153</v>
      </c>
      <c r="E22" s="16"/>
      <c r="F22" s="16">
        <v>6</v>
      </c>
      <c r="G22" s="16"/>
      <c r="H22" s="16">
        <v>57</v>
      </c>
      <c r="I22" s="16"/>
      <c r="J22" s="16">
        <v>21</v>
      </c>
      <c r="K22" s="16"/>
      <c r="L22" s="16">
        <v>88</v>
      </c>
      <c r="M22" s="16"/>
      <c r="N22" s="16">
        <v>45</v>
      </c>
      <c r="O22" s="16"/>
      <c r="P22" s="16">
        <v>0</v>
      </c>
      <c r="Q22" s="16"/>
      <c r="R22" s="16">
        <v>3</v>
      </c>
      <c r="S22" s="16"/>
      <c r="T22" s="16">
        <v>39</v>
      </c>
      <c r="U22" s="16"/>
      <c r="V22" s="16">
        <f t="shared" si="0"/>
        <v>412</v>
      </c>
      <c r="W22" s="7"/>
    </row>
    <row r="23" spans="1:23" s="5" customFormat="1" ht="12.75" customHeight="1">
      <c r="A23" s="10" t="s">
        <v>26</v>
      </c>
      <c r="B23" s="7" t="s">
        <v>27</v>
      </c>
      <c r="C23" s="7"/>
      <c r="D23" s="16">
        <v>205</v>
      </c>
      <c r="E23" s="16"/>
      <c r="F23" s="16">
        <v>9</v>
      </c>
      <c r="G23" s="16"/>
      <c r="H23" s="16">
        <v>98</v>
      </c>
      <c r="I23" s="16"/>
      <c r="J23" s="16">
        <v>53</v>
      </c>
      <c r="K23" s="16"/>
      <c r="L23" s="16">
        <v>118</v>
      </c>
      <c r="M23" s="16"/>
      <c r="N23" s="16">
        <v>82</v>
      </c>
      <c r="O23" s="16"/>
      <c r="P23" s="16">
        <v>3</v>
      </c>
      <c r="Q23" s="16"/>
      <c r="R23" s="16">
        <v>11</v>
      </c>
      <c r="S23" s="16"/>
      <c r="T23" s="16">
        <v>46</v>
      </c>
      <c r="U23" s="16"/>
      <c r="V23" s="16">
        <f>SUM(D23:T23)</f>
        <v>625</v>
      </c>
      <c r="W23" s="7"/>
    </row>
    <row r="24" spans="1:23" s="5" customFormat="1" ht="12.75" customHeight="1">
      <c r="A24" s="10" t="s">
        <v>28</v>
      </c>
      <c r="B24" s="7" t="s">
        <v>29</v>
      </c>
      <c r="C24" s="7"/>
      <c r="D24" s="16">
        <v>323</v>
      </c>
      <c r="E24" s="16"/>
      <c r="F24" s="16">
        <v>19</v>
      </c>
      <c r="G24" s="16"/>
      <c r="H24" s="16">
        <v>71</v>
      </c>
      <c r="I24" s="16"/>
      <c r="J24" s="16">
        <v>179</v>
      </c>
      <c r="K24" s="16"/>
      <c r="L24" s="16">
        <v>372</v>
      </c>
      <c r="M24" s="16"/>
      <c r="N24" s="16">
        <v>100</v>
      </c>
      <c r="O24" s="16"/>
      <c r="P24" s="16">
        <v>7</v>
      </c>
      <c r="Q24" s="16"/>
      <c r="R24" s="16">
        <v>17</v>
      </c>
      <c r="S24" s="16"/>
      <c r="T24" s="16">
        <v>70</v>
      </c>
      <c r="U24" s="16"/>
      <c r="V24" s="16">
        <f t="shared" si="0"/>
        <v>1158</v>
      </c>
      <c r="W24" s="7"/>
    </row>
    <row r="25" spans="1:23" s="5" customFormat="1" ht="12.75" customHeight="1">
      <c r="A25" s="10" t="s">
        <v>30</v>
      </c>
      <c r="B25" s="7" t="s">
        <v>31</v>
      </c>
      <c r="C25" s="7"/>
      <c r="D25" s="16">
        <v>161</v>
      </c>
      <c r="E25" s="16"/>
      <c r="F25" s="16">
        <v>9</v>
      </c>
      <c r="G25" s="16"/>
      <c r="H25" s="16">
        <v>119</v>
      </c>
      <c r="I25" s="16"/>
      <c r="J25" s="16">
        <v>319</v>
      </c>
      <c r="K25" s="16"/>
      <c r="L25" s="16">
        <v>169</v>
      </c>
      <c r="M25" s="16"/>
      <c r="N25" s="16">
        <v>151</v>
      </c>
      <c r="O25" s="16"/>
      <c r="P25" s="16">
        <v>7</v>
      </c>
      <c r="Q25" s="16"/>
      <c r="R25" s="16">
        <v>3</v>
      </c>
      <c r="S25" s="16"/>
      <c r="T25" s="16">
        <v>46</v>
      </c>
      <c r="U25" s="16"/>
      <c r="V25" s="16">
        <f t="shared" si="0"/>
        <v>984</v>
      </c>
      <c r="W25" s="7"/>
    </row>
    <row r="26" spans="1:23" s="5" customFormat="1" ht="12.75" customHeight="1">
      <c r="A26" s="10" t="s">
        <v>32</v>
      </c>
      <c r="B26" s="7" t="s">
        <v>33</v>
      </c>
      <c r="C26" s="7"/>
      <c r="D26" s="16">
        <v>182</v>
      </c>
      <c r="E26" s="16"/>
      <c r="F26" s="16">
        <v>8</v>
      </c>
      <c r="G26" s="16"/>
      <c r="H26" s="16">
        <v>26</v>
      </c>
      <c r="I26" s="16"/>
      <c r="J26" s="16">
        <v>176</v>
      </c>
      <c r="K26" s="16"/>
      <c r="L26" s="16">
        <v>166</v>
      </c>
      <c r="M26" s="16"/>
      <c r="N26" s="16">
        <v>89</v>
      </c>
      <c r="O26" s="16"/>
      <c r="P26" s="16">
        <v>5</v>
      </c>
      <c r="Q26" s="16"/>
      <c r="R26" s="16">
        <v>10</v>
      </c>
      <c r="S26" s="16"/>
      <c r="T26" s="16">
        <v>43</v>
      </c>
      <c r="U26" s="16"/>
      <c r="V26" s="16">
        <f t="shared" si="0"/>
        <v>705</v>
      </c>
      <c r="W26" s="7"/>
    </row>
    <row r="27" spans="1:23" s="5" customFormat="1" ht="12.75" customHeight="1">
      <c r="A27" s="10" t="s">
        <v>34</v>
      </c>
      <c r="B27" s="7" t="s">
        <v>35</v>
      </c>
      <c r="C27" s="7"/>
      <c r="D27" s="16">
        <v>147</v>
      </c>
      <c r="E27" s="16"/>
      <c r="F27" s="16">
        <v>5</v>
      </c>
      <c r="G27" s="16"/>
      <c r="H27" s="16">
        <v>41</v>
      </c>
      <c r="I27" s="16"/>
      <c r="J27" s="16">
        <v>205</v>
      </c>
      <c r="K27" s="16"/>
      <c r="L27" s="16">
        <v>206</v>
      </c>
      <c r="M27" s="16"/>
      <c r="N27" s="16">
        <v>176</v>
      </c>
      <c r="O27" s="16"/>
      <c r="P27" s="16">
        <v>5</v>
      </c>
      <c r="Q27" s="16"/>
      <c r="R27" s="16">
        <v>6</v>
      </c>
      <c r="S27" s="16"/>
      <c r="T27" s="16">
        <v>20</v>
      </c>
      <c r="U27" s="16"/>
      <c r="V27" s="16">
        <f t="shared" si="0"/>
        <v>811</v>
      </c>
      <c r="W27" s="7"/>
    </row>
    <row r="28" spans="1:23" s="5" customFormat="1" ht="12.75" customHeight="1">
      <c r="A28" s="10" t="s">
        <v>36</v>
      </c>
      <c r="B28" s="7" t="s">
        <v>37</v>
      </c>
      <c r="C28" s="7"/>
      <c r="D28" s="16">
        <v>273</v>
      </c>
      <c r="E28" s="16"/>
      <c r="F28" s="16">
        <v>11</v>
      </c>
      <c r="G28" s="16"/>
      <c r="H28" s="16">
        <v>233</v>
      </c>
      <c r="I28" s="16"/>
      <c r="J28" s="16">
        <v>417</v>
      </c>
      <c r="K28" s="16"/>
      <c r="L28" s="16">
        <v>449</v>
      </c>
      <c r="M28" s="16"/>
      <c r="N28" s="16">
        <v>278</v>
      </c>
      <c r="O28" s="16"/>
      <c r="P28" s="16">
        <v>11</v>
      </c>
      <c r="Q28" s="16"/>
      <c r="R28" s="16">
        <v>15</v>
      </c>
      <c r="S28" s="16"/>
      <c r="T28" s="16">
        <v>69</v>
      </c>
      <c r="U28" s="16"/>
      <c r="V28" s="16">
        <f t="shared" si="0"/>
        <v>1756</v>
      </c>
      <c r="W28" s="7"/>
    </row>
    <row r="29" spans="1:23" s="5" customFormat="1" ht="12.75" customHeight="1">
      <c r="A29" s="10" t="s">
        <v>38</v>
      </c>
      <c r="B29" s="7" t="s">
        <v>39</v>
      </c>
      <c r="C29" s="7"/>
      <c r="D29" s="16">
        <v>234</v>
      </c>
      <c r="E29" s="16"/>
      <c r="F29" s="16">
        <v>7</v>
      </c>
      <c r="G29" s="16"/>
      <c r="H29" s="16">
        <v>277</v>
      </c>
      <c r="I29" s="16"/>
      <c r="J29" s="16">
        <v>154</v>
      </c>
      <c r="K29" s="16"/>
      <c r="L29" s="16">
        <v>359</v>
      </c>
      <c r="M29" s="16"/>
      <c r="N29" s="16">
        <v>204</v>
      </c>
      <c r="O29" s="16"/>
      <c r="P29" s="16">
        <v>15</v>
      </c>
      <c r="Q29" s="16"/>
      <c r="R29" s="16">
        <v>18</v>
      </c>
      <c r="S29" s="16"/>
      <c r="T29" s="16">
        <v>50</v>
      </c>
      <c r="U29" s="16"/>
      <c r="V29" s="16">
        <f t="shared" si="0"/>
        <v>1318</v>
      </c>
      <c r="W29" s="7"/>
    </row>
    <row r="30" spans="1:23" s="5" customFormat="1" ht="12.75" customHeight="1">
      <c r="A30" s="10" t="s">
        <v>40</v>
      </c>
      <c r="B30" s="7" t="s">
        <v>41</v>
      </c>
      <c r="C30" s="7"/>
      <c r="D30" s="16">
        <v>152</v>
      </c>
      <c r="E30" s="16"/>
      <c r="F30" s="16">
        <v>9</v>
      </c>
      <c r="G30" s="16"/>
      <c r="H30" s="16">
        <v>256</v>
      </c>
      <c r="I30" s="16"/>
      <c r="J30" s="16">
        <v>173</v>
      </c>
      <c r="K30" s="16"/>
      <c r="L30" s="16">
        <v>281</v>
      </c>
      <c r="M30" s="16"/>
      <c r="N30" s="16">
        <v>231</v>
      </c>
      <c r="O30" s="16"/>
      <c r="P30" s="16">
        <v>9</v>
      </c>
      <c r="Q30" s="16"/>
      <c r="R30" s="16">
        <v>6</v>
      </c>
      <c r="S30" s="16"/>
      <c r="T30" s="16">
        <v>26</v>
      </c>
      <c r="U30" s="16"/>
      <c r="V30" s="16">
        <f t="shared" si="0"/>
        <v>1143</v>
      </c>
      <c r="W30" s="7"/>
    </row>
    <row r="31" spans="1:23" s="5" customFormat="1" ht="12.75" customHeight="1">
      <c r="A31" s="10" t="s">
        <v>42</v>
      </c>
      <c r="B31" s="7" t="s">
        <v>43</v>
      </c>
      <c r="C31" s="7"/>
      <c r="D31" s="16">
        <v>174</v>
      </c>
      <c r="E31" s="16"/>
      <c r="F31" s="16">
        <v>18</v>
      </c>
      <c r="G31" s="16"/>
      <c r="H31" s="16">
        <v>166</v>
      </c>
      <c r="I31" s="16"/>
      <c r="J31" s="16">
        <v>613</v>
      </c>
      <c r="K31" s="16"/>
      <c r="L31" s="16">
        <v>475</v>
      </c>
      <c r="M31" s="16"/>
      <c r="N31" s="16">
        <v>167</v>
      </c>
      <c r="O31" s="16"/>
      <c r="P31" s="16">
        <v>8</v>
      </c>
      <c r="Q31" s="16"/>
      <c r="R31" s="16">
        <v>6</v>
      </c>
      <c r="S31" s="16"/>
      <c r="T31" s="16">
        <v>33</v>
      </c>
      <c r="U31" s="16"/>
      <c r="V31" s="16">
        <f t="shared" si="0"/>
        <v>1660</v>
      </c>
      <c r="W31" s="7"/>
    </row>
    <row r="32" spans="1:23" s="5" customFormat="1" ht="12.75" customHeight="1">
      <c r="A32" s="10" t="s">
        <v>44</v>
      </c>
      <c r="B32" s="7" t="s">
        <v>45</v>
      </c>
      <c r="C32" s="7"/>
      <c r="D32" s="16">
        <v>177</v>
      </c>
      <c r="E32" s="16"/>
      <c r="F32" s="16">
        <v>8</v>
      </c>
      <c r="G32" s="16"/>
      <c r="H32" s="16">
        <v>80</v>
      </c>
      <c r="I32" s="16"/>
      <c r="J32" s="16">
        <v>131</v>
      </c>
      <c r="K32" s="16"/>
      <c r="L32" s="16">
        <v>265</v>
      </c>
      <c r="M32" s="16"/>
      <c r="N32" s="16">
        <v>115</v>
      </c>
      <c r="O32" s="16"/>
      <c r="P32" s="16">
        <v>6</v>
      </c>
      <c r="Q32" s="16"/>
      <c r="R32" s="16">
        <v>8</v>
      </c>
      <c r="S32" s="16"/>
      <c r="T32" s="16">
        <v>60</v>
      </c>
      <c r="U32" s="16"/>
      <c r="V32" s="16">
        <f t="shared" si="0"/>
        <v>850</v>
      </c>
      <c r="W32" s="7"/>
    </row>
    <row r="33" spans="1:23" s="5" customFormat="1" ht="12.75" customHeight="1">
      <c r="A33" s="10" t="s">
        <v>46</v>
      </c>
      <c r="B33" s="7" t="s">
        <v>47</v>
      </c>
      <c r="C33" s="7"/>
      <c r="D33" s="16">
        <v>138</v>
      </c>
      <c r="E33" s="16"/>
      <c r="F33" s="16">
        <v>5</v>
      </c>
      <c r="G33" s="16"/>
      <c r="H33" s="16">
        <v>75</v>
      </c>
      <c r="I33" s="16"/>
      <c r="J33" s="16">
        <v>123</v>
      </c>
      <c r="K33" s="16"/>
      <c r="L33" s="16">
        <v>117</v>
      </c>
      <c r="M33" s="16"/>
      <c r="N33" s="16">
        <v>83</v>
      </c>
      <c r="O33" s="16"/>
      <c r="P33" s="16">
        <v>1</v>
      </c>
      <c r="Q33" s="16"/>
      <c r="R33" s="16">
        <v>14</v>
      </c>
      <c r="S33" s="16"/>
      <c r="T33" s="16">
        <v>57</v>
      </c>
      <c r="U33" s="16"/>
      <c r="V33" s="16">
        <f t="shared" si="0"/>
        <v>613</v>
      </c>
      <c r="W33" s="7"/>
    </row>
    <row r="34" spans="1:23" s="5" customFormat="1" ht="12.75" customHeight="1">
      <c r="A34" s="10" t="s">
        <v>48</v>
      </c>
      <c r="B34" s="7" t="s">
        <v>49</v>
      </c>
      <c r="C34" s="7"/>
      <c r="D34" s="16">
        <v>205</v>
      </c>
      <c r="E34" s="16"/>
      <c r="F34" s="16">
        <v>7</v>
      </c>
      <c r="G34" s="16"/>
      <c r="H34" s="16">
        <v>115</v>
      </c>
      <c r="I34" s="16"/>
      <c r="J34" s="16">
        <v>224</v>
      </c>
      <c r="K34" s="16"/>
      <c r="L34" s="16">
        <v>352</v>
      </c>
      <c r="M34" s="16"/>
      <c r="N34" s="16">
        <v>186</v>
      </c>
      <c r="O34" s="16"/>
      <c r="P34" s="16">
        <v>12</v>
      </c>
      <c r="Q34" s="16"/>
      <c r="R34" s="16">
        <v>8</v>
      </c>
      <c r="S34" s="16"/>
      <c r="T34" s="16">
        <v>28</v>
      </c>
      <c r="U34" s="16"/>
      <c r="V34" s="16">
        <f t="shared" si="0"/>
        <v>1137</v>
      </c>
      <c r="W34" s="7"/>
    </row>
    <row r="35" spans="1:23" s="5" customFormat="1" ht="12.75" customHeight="1">
      <c r="A35" s="10" t="s">
        <v>50</v>
      </c>
      <c r="B35" s="7" t="s">
        <v>51</v>
      </c>
      <c r="C35" s="7"/>
      <c r="D35" s="16">
        <v>135</v>
      </c>
      <c r="E35" s="16"/>
      <c r="F35" s="16">
        <v>9</v>
      </c>
      <c r="G35" s="16"/>
      <c r="H35" s="16">
        <v>108</v>
      </c>
      <c r="I35" s="16"/>
      <c r="J35" s="16">
        <v>139</v>
      </c>
      <c r="K35" s="16"/>
      <c r="L35" s="16">
        <v>178</v>
      </c>
      <c r="M35" s="16"/>
      <c r="N35" s="16">
        <v>86</v>
      </c>
      <c r="O35" s="16"/>
      <c r="P35" s="16">
        <v>5</v>
      </c>
      <c r="Q35" s="16"/>
      <c r="R35" s="16">
        <v>5</v>
      </c>
      <c r="S35" s="16"/>
      <c r="T35" s="16">
        <v>17</v>
      </c>
      <c r="U35" s="16"/>
      <c r="V35" s="16">
        <f t="shared" si="0"/>
        <v>682</v>
      </c>
      <c r="W35" s="7"/>
    </row>
    <row r="36" spans="1:23" s="5" customFormat="1" ht="12.75" customHeight="1">
      <c r="A36" s="10" t="s">
        <v>52</v>
      </c>
      <c r="B36" s="7" t="s">
        <v>53</v>
      </c>
      <c r="C36" s="7"/>
      <c r="D36" s="16">
        <v>139</v>
      </c>
      <c r="E36" s="16"/>
      <c r="F36" s="16">
        <v>3</v>
      </c>
      <c r="G36" s="16"/>
      <c r="H36" s="16">
        <v>129</v>
      </c>
      <c r="I36" s="16"/>
      <c r="J36" s="16">
        <v>45</v>
      </c>
      <c r="K36" s="16"/>
      <c r="L36" s="16">
        <v>147</v>
      </c>
      <c r="M36" s="16"/>
      <c r="N36" s="16">
        <v>148</v>
      </c>
      <c r="O36" s="16"/>
      <c r="P36" s="16">
        <v>11</v>
      </c>
      <c r="Q36" s="16"/>
      <c r="R36" s="16">
        <v>6</v>
      </c>
      <c r="S36" s="16"/>
      <c r="T36" s="16">
        <v>20</v>
      </c>
      <c r="U36" s="16"/>
      <c r="V36" s="16">
        <f t="shared" si="0"/>
        <v>648</v>
      </c>
      <c r="W36" s="7"/>
    </row>
    <row r="37" spans="1:23" s="5" customFormat="1" ht="12.75" customHeight="1">
      <c r="A37" s="10" t="s">
        <v>54</v>
      </c>
      <c r="B37" s="7" t="s">
        <v>55</v>
      </c>
      <c r="C37" s="7"/>
      <c r="D37" s="16">
        <v>138</v>
      </c>
      <c r="E37" s="16"/>
      <c r="F37" s="16">
        <v>6</v>
      </c>
      <c r="G37" s="16"/>
      <c r="H37" s="16">
        <v>141</v>
      </c>
      <c r="I37" s="16"/>
      <c r="J37" s="16">
        <v>62</v>
      </c>
      <c r="K37" s="16"/>
      <c r="L37" s="16">
        <v>117</v>
      </c>
      <c r="M37" s="16"/>
      <c r="N37" s="16">
        <v>132</v>
      </c>
      <c r="O37" s="16"/>
      <c r="P37" s="16">
        <v>5</v>
      </c>
      <c r="Q37" s="16"/>
      <c r="R37" s="16">
        <v>7</v>
      </c>
      <c r="S37" s="16"/>
      <c r="T37" s="16">
        <v>34</v>
      </c>
      <c r="U37" s="16"/>
      <c r="V37" s="16">
        <f t="shared" si="0"/>
        <v>642</v>
      </c>
      <c r="W37" s="7"/>
    </row>
    <row r="38" spans="1:23" s="5" customFormat="1" ht="12.75" customHeight="1">
      <c r="A38" s="10" t="s">
        <v>56</v>
      </c>
      <c r="B38" s="7" t="s">
        <v>57</v>
      </c>
      <c r="C38" s="7"/>
      <c r="D38" s="16">
        <v>222</v>
      </c>
      <c r="E38" s="16"/>
      <c r="F38" s="16">
        <v>9</v>
      </c>
      <c r="G38" s="16"/>
      <c r="H38" s="16">
        <v>272</v>
      </c>
      <c r="I38" s="16"/>
      <c r="J38" s="16">
        <v>171</v>
      </c>
      <c r="K38" s="16"/>
      <c r="L38" s="16">
        <v>366</v>
      </c>
      <c r="M38" s="16"/>
      <c r="N38" s="16">
        <v>139</v>
      </c>
      <c r="O38" s="16"/>
      <c r="P38" s="16">
        <v>2</v>
      </c>
      <c r="Q38" s="16"/>
      <c r="R38" s="16">
        <v>6</v>
      </c>
      <c r="S38" s="16"/>
      <c r="T38" s="16">
        <v>42</v>
      </c>
      <c r="U38" s="16"/>
      <c r="V38" s="16">
        <f t="shared" si="0"/>
        <v>1229</v>
      </c>
      <c r="W38" s="7"/>
    </row>
    <row r="39" spans="1:23" s="5" customFormat="1" ht="12.75" customHeight="1">
      <c r="A39" s="10" t="s">
        <v>58</v>
      </c>
      <c r="B39" s="7" t="s">
        <v>59</v>
      </c>
      <c r="C39" s="7"/>
      <c r="D39" s="16">
        <v>191</v>
      </c>
      <c r="E39" s="16"/>
      <c r="F39" s="16">
        <v>3</v>
      </c>
      <c r="G39" s="16"/>
      <c r="H39" s="16">
        <v>246</v>
      </c>
      <c r="I39" s="16"/>
      <c r="J39" s="16">
        <v>304</v>
      </c>
      <c r="K39" s="16"/>
      <c r="L39" s="16">
        <v>226</v>
      </c>
      <c r="M39" s="16"/>
      <c r="N39" s="16">
        <v>157</v>
      </c>
      <c r="O39" s="16"/>
      <c r="P39" s="16">
        <v>3</v>
      </c>
      <c r="Q39" s="16"/>
      <c r="R39" s="16">
        <v>6</v>
      </c>
      <c r="S39" s="16"/>
      <c r="T39" s="16">
        <v>38</v>
      </c>
      <c r="U39" s="16"/>
      <c r="V39" s="16">
        <f t="shared" si="0"/>
        <v>1174</v>
      </c>
      <c r="W39" s="7"/>
    </row>
    <row r="40" spans="1:23" s="5" customFormat="1" ht="12.75" customHeight="1">
      <c r="A40" s="10" t="s">
        <v>60</v>
      </c>
      <c r="B40" s="7" t="s">
        <v>61</v>
      </c>
      <c r="C40" s="7"/>
      <c r="D40" s="16">
        <v>40</v>
      </c>
      <c r="E40" s="16"/>
      <c r="F40" s="16">
        <v>5</v>
      </c>
      <c r="G40" s="16"/>
      <c r="H40" s="16">
        <v>19</v>
      </c>
      <c r="I40" s="16"/>
      <c r="J40" s="16">
        <v>4</v>
      </c>
      <c r="K40" s="16"/>
      <c r="L40" s="16">
        <v>25</v>
      </c>
      <c r="M40" s="16"/>
      <c r="N40" s="16">
        <v>30</v>
      </c>
      <c r="O40" s="16"/>
      <c r="P40" s="16">
        <v>3</v>
      </c>
      <c r="Q40" s="16"/>
      <c r="R40" s="16">
        <v>3</v>
      </c>
      <c r="S40" s="16"/>
      <c r="T40" s="16">
        <v>21</v>
      </c>
      <c r="U40" s="16"/>
      <c r="V40" s="16">
        <f t="shared" si="0"/>
        <v>150</v>
      </c>
      <c r="W40" s="7"/>
    </row>
    <row r="41" spans="1:23" s="5" customFormat="1" ht="12.75" customHeight="1">
      <c r="A41" s="10" t="s">
        <v>62</v>
      </c>
      <c r="B41" s="7" t="s">
        <v>63</v>
      </c>
      <c r="C41" s="7"/>
      <c r="D41" s="16">
        <v>155</v>
      </c>
      <c r="E41" s="16"/>
      <c r="F41" s="16">
        <v>10</v>
      </c>
      <c r="G41" s="16"/>
      <c r="H41" s="16">
        <v>170</v>
      </c>
      <c r="I41" s="16"/>
      <c r="J41" s="16">
        <v>8</v>
      </c>
      <c r="K41" s="16"/>
      <c r="L41" s="16">
        <v>156</v>
      </c>
      <c r="M41" s="16"/>
      <c r="N41" s="16">
        <v>138</v>
      </c>
      <c r="O41" s="16"/>
      <c r="P41" s="16">
        <v>4</v>
      </c>
      <c r="Q41" s="16"/>
      <c r="R41" s="16">
        <v>15</v>
      </c>
      <c r="S41" s="16"/>
      <c r="T41" s="16">
        <v>40</v>
      </c>
      <c r="U41" s="16"/>
      <c r="V41" s="16">
        <f t="shared" si="0"/>
        <v>696</v>
      </c>
      <c r="W41" s="7"/>
    </row>
    <row r="42" spans="1:23" s="5" customFormat="1" ht="12.75" customHeight="1">
      <c r="A42" s="10" t="s">
        <v>64</v>
      </c>
      <c r="B42" s="7" t="s">
        <v>65</v>
      </c>
      <c r="C42" s="7"/>
      <c r="D42" s="16">
        <v>63</v>
      </c>
      <c r="E42" s="16"/>
      <c r="F42" s="16">
        <v>1</v>
      </c>
      <c r="G42" s="16"/>
      <c r="H42" s="16">
        <v>14</v>
      </c>
      <c r="I42" s="16"/>
      <c r="J42" s="16">
        <v>27</v>
      </c>
      <c r="K42" s="16"/>
      <c r="L42" s="16">
        <v>40</v>
      </c>
      <c r="M42" s="16"/>
      <c r="N42" s="16">
        <v>44</v>
      </c>
      <c r="O42" s="16"/>
      <c r="P42" s="16">
        <v>4</v>
      </c>
      <c r="Q42" s="16"/>
      <c r="R42" s="16">
        <v>11</v>
      </c>
      <c r="S42" s="16"/>
      <c r="T42" s="16">
        <v>15</v>
      </c>
      <c r="U42" s="16"/>
      <c r="V42" s="16">
        <f t="shared" si="0"/>
        <v>219</v>
      </c>
      <c r="W42" s="7"/>
    </row>
    <row r="43" spans="1:23" s="5" customFormat="1" ht="12.75" customHeight="1">
      <c r="A43" s="10" t="s">
        <v>66</v>
      </c>
      <c r="B43" s="7" t="s">
        <v>67</v>
      </c>
      <c r="C43" s="7"/>
      <c r="D43" s="16">
        <v>516</v>
      </c>
      <c r="E43" s="16"/>
      <c r="F43" s="16">
        <v>47</v>
      </c>
      <c r="G43" s="16"/>
      <c r="H43" s="16">
        <v>134</v>
      </c>
      <c r="I43" s="16"/>
      <c r="J43" s="16">
        <v>64</v>
      </c>
      <c r="K43" s="16"/>
      <c r="L43" s="16">
        <v>709</v>
      </c>
      <c r="M43" s="16"/>
      <c r="N43" s="16">
        <v>528</v>
      </c>
      <c r="O43" s="16"/>
      <c r="P43" s="16">
        <v>37</v>
      </c>
      <c r="Q43" s="16"/>
      <c r="R43" s="16">
        <v>92</v>
      </c>
      <c r="S43" s="16"/>
      <c r="T43" s="16">
        <v>144</v>
      </c>
      <c r="U43" s="16"/>
      <c r="V43" s="16">
        <f t="shared" si="0"/>
        <v>2271</v>
      </c>
      <c r="W43" s="7"/>
    </row>
    <row r="44" spans="1:23" s="5" customFormat="1" ht="12.75" customHeight="1">
      <c r="A44" s="10" t="s">
        <v>68</v>
      </c>
      <c r="B44" s="7" t="s">
        <v>69</v>
      </c>
      <c r="C44" s="7"/>
      <c r="D44" s="16">
        <v>86</v>
      </c>
      <c r="E44" s="16"/>
      <c r="F44" s="16">
        <v>5</v>
      </c>
      <c r="G44" s="16"/>
      <c r="H44" s="16">
        <v>96</v>
      </c>
      <c r="I44" s="16"/>
      <c r="J44" s="16">
        <v>9</v>
      </c>
      <c r="K44" s="16"/>
      <c r="L44" s="16">
        <v>76</v>
      </c>
      <c r="M44" s="16"/>
      <c r="N44" s="16">
        <v>108</v>
      </c>
      <c r="O44" s="16"/>
      <c r="P44" s="16">
        <v>4</v>
      </c>
      <c r="Q44" s="16"/>
      <c r="R44" s="16">
        <v>7</v>
      </c>
      <c r="S44" s="16"/>
      <c r="T44" s="16">
        <v>22</v>
      </c>
      <c r="U44" s="16"/>
      <c r="V44" s="16">
        <f t="shared" si="0"/>
        <v>413</v>
      </c>
      <c r="W44" s="7"/>
    </row>
    <row r="45" spans="1:23" s="5" customFormat="1" ht="12.75" customHeight="1" thickBot="1">
      <c r="A45" s="11" t="s">
        <v>70</v>
      </c>
      <c r="B45" s="8" t="s">
        <v>71</v>
      </c>
      <c r="C45" s="8"/>
      <c r="D45" s="15">
        <v>74</v>
      </c>
      <c r="E45" s="15"/>
      <c r="F45" s="15">
        <v>4</v>
      </c>
      <c r="G45" s="15"/>
      <c r="H45" s="15">
        <v>91</v>
      </c>
      <c r="I45" s="15"/>
      <c r="J45" s="15">
        <v>13</v>
      </c>
      <c r="K45" s="15"/>
      <c r="L45" s="15">
        <v>80</v>
      </c>
      <c r="M45" s="15"/>
      <c r="N45" s="15">
        <v>71</v>
      </c>
      <c r="O45" s="15"/>
      <c r="P45" s="15">
        <v>4</v>
      </c>
      <c r="Q45" s="15"/>
      <c r="R45" s="15">
        <v>12</v>
      </c>
      <c r="S45" s="15"/>
      <c r="T45" s="15">
        <v>12</v>
      </c>
      <c r="U45" s="15"/>
      <c r="V45" s="15">
        <f t="shared" si="0"/>
        <v>361</v>
      </c>
      <c r="W45" s="8"/>
    </row>
    <row r="46" spans="1:23" s="5" customFormat="1" ht="12" thickBot="1">
      <c r="A46" s="75" t="s">
        <v>89</v>
      </c>
      <c r="B46" s="75"/>
      <c r="C46" s="67">
        <v>2017</v>
      </c>
      <c r="D46" s="43">
        <f>SUM(D11:D45)</f>
        <v>6817</v>
      </c>
      <c r="E46" s="43"/>
      <c r="F46" s="43">
        <f>SUM(F11:F45)</f>
        <v>369</v>
      </c>
      <c r="G46" s="43"/>
      <c r="H46" s="43">
        <f>SUM(H11:H45)</f>
        <v>4217</v>
      </c>
      <c r="I46" s="43"/>
      <c r="J46" s="43">
        <f>SUM(J11:J45)</f>
        <v>5553</v>
      </c>
      <c r="K46" s="43"/>
      <c r="L46" s="43">
        <f>SUM(L11:L45)</f>
        <v>7381</v>
      </c>
      <c r="M46" s="43"/>
      <c r="N46" s="43">
        <f>SUM(N11:N45)</f>
        <v>5011</v>
      </c>
      <c r="O46" s="43"/>
      <c r="P46" s="43">
        <f>SUM(P11:P45)</f>
        <v>220</v>
      </c>
      <c r="Q46" s="43"/>
      <c r="R46" s="43">
        <f>SUM(R11:R45)</f>
        <v>460</v>
      </c>
      <c r="S46" s="43"/>
      <c r="T46" s="43">
        <f>SUM(T11:T45)</f>
        <v>1929</v>
      </c>
      <c r="U46" s="43"/>
      <c r="V46" s="43">
        <f>SUM(V11:V45)</f>
        <v>31957</v>
      </c>
      <c r="W46" s="7"/>
    </row>
    <row r="47" spans="1:23" s="5" customFormat="1" ht="11.25">
      <c r="A47" s="75"/>
      <c r="B47" s="75"/>
      <c r="C47" s="67">
        <v>2016</v>
      </c>
      <c r="D47" s="43">
        <v>6378</v>
      </c>
      <c r="E47" s="43"/>
      <c r="F47" s="43">
        <v>210</v>
      </c>
      <c r="G47" s="43"/>
      <c r="H47" s="43">
        <v>3273</v>
      </c>
      <c r="I47" s="43"/>
      <c r="J47" s="43">
        <v>3857</v>
      </c>
      <c r="K47" s="43"/>
      <c r="L47" s="43">
        <v>5645</v>
      </c>
      <c r="M47" s="43"/>
      <c r="N47" s="43">
        <v>3730</v>
      </c>
      <c r="O47" s="43"/>
      <c r="P47" s="43">
        <v>183</v>
      </c>
      <c r="Q47" s="43"/>
      <c r="R47" s="43">
        <v>321</v>
      </c>
      <c r="S47" s="43"/>
      <c r="T47" s="43">
        <v>1478</v>
      </c>
      <c r="U47" s="43"/>
      <c r="V47" s="43">
        <v>25075</v>
      </c>
      <c r="W47" s="7"/>
    </row>
    <row r="48" spans="1:23" s="5" customFormat="1" ht="11.25">
      <c r="A48" s="42"/>
      <c r="B48" s="42"/>
      <c r="C48" s="40">
        <v>2016</v>
      </c>
      <c r="D48" s="43">
        <v>4986</v>
      </c>
      <c r="E48" s="43"/>
      <c r="F48" s="43">
        <v>230</v>
      </c>
      <c r="G48" s="43"/>
      <c r="H48" s="43">
        <v>3100</v>
      </c>
      <c r="I48" s="43"/>
      <c r="J48" s="43">
        <v>4032</v>
      </c>
      <c r="K48" s="43"/>
      <c r="L48" s="43">
        <v>5213</v>
      </c>
      <c r="M48" s="43"/>
      <c r="N48" s="43">
        <v>3740</v>
      </c>
      <c r="O48" s="43"/>
      <c r="P48" s="43">
        <v>178</v>
      </c>
      <c r="Q48" s="43"/>
      <c r="R48" s="43">
        <v>376</v>
      </c>
      <c r="S48" s="43"/>
      <c r="T48" s="43">
        <v>1718</v>
      </c>
      <c r="U48" s="43"/>
      <c r="V48" s="43">
        <v>23573</v>
      </c>
      <c r="W48" s="7"/>
    </row>
    <row r="49" spans="1:23" s="5" customFormat="1" ht="11.25">
      <c r="A49" s="42"/>
      <c r="B49" s="42"/>
      <c r="C49" s="40">
        <v>2014</v>
      </c>
      <c r="D49" s="43">
        <v>5669</v>
      </c>
      <c r="E49" s="43"/>
      <c r="F49" s="43">
        <v>328</v>
      </c>
      <c r="G49" s="43"/>
      <c r="H49" s="43">
        <v>2951</v>
      </c>
      <c r="I49" s="43"/>
      <c r="J49" s="43">
        <v>4260</v>
      </c>
      <c r="K49" s="43"/>
      <c r="L49" s="43">
        <v>5812</v>
      </c>
      <c r="M49" s="43"/>
      <c r="N49" s="43">
        <v>3592</v>
      </c>
      <c r="O49" s="43"/>
      <c r="P49" s="43">
        <v>220</v>
      </c>
      <c r="Q49" s="43"/>
      <c r="R49" s="43">
        <v>389</v>
      </c>
      <c r="S49" s="43"/>
      <c r="T49" s="43">
        <v>1799</v>
      </c>
      <c r="U49" s="43"/>
      <c r="V49" s="43">
        <v>25206</v>
      </c>
      <c r="W49" s="7"/>
    </row>
    <row r="50" spans="1:23" s="5" customFormat="1" ht="11.25">
      <c r="A50" s="42"/>
      <c r="B50" s="42"/>
      <c r="C50" s="40">
        <v>2013</v>
      </c>
      <c r="D50" s="43">
        <v>5834</v>
      </c>
      <c r="E50" s="43"/>
      <c r="F50" s="43">
        <v>336</v>
      </c>
      <c r="G50" s="43"/>
      <c r="H50" s="43">
        <v>3863</v>
      </c>
      <c r="I50" s="43"/>
      <c r="J50" s="43">
        <v>6085</v>
      </c>
      <c r="K50" s="43"/>
      <c r="L50" s="43">
        <v>6234</v>
      </c>
      <c r="M50" s="43"/>
      <c r="N50" s="43">
        <v>4100</v>
      </c>
      <c r="O50" s="43"/>
      <c r="P50" s="43">
        <v>601</v>
      </c>
      <c r="Q50" s="43"/>
      <c r="R50" s="43">
        <v>614</v>
      </c>
      <c r="S50" s="43"/>
      <c r="T50" s="43">
        <v>1975</v>
      </c>
      <c r="U50" s="43"/>
      <c r="V50" s="43">
        <v>29642</v>
      </c>
      <c r="W50" s="7"/>
    </row>
    <row r="51" spans="1:23" s="5" customFormat="1" ht="11.25">
      <c r="A51" s="42"/>
      <c r="B51" s="42"/>
      <c r="C51" s="40">
        <v>2012</v>
      </c>
      <c r="D51" s="43">
        <v>5838</v>
      </c>
      <c r="E51" s="43"/>
      <c r="F51" s="43">
        <v>259</v>
      </c>
      <c r="G51" s="43"/>
      <c r="H51" s="43">
        <v>3810</v>
      </c>
      <c r="I51" s="43"/>
      <c r="J51" s="43">
        <v>5745</v>
      </c>
      <c r="K51" s="43"/>
      <c r="L51" s="43">
        <v>6536</v>
      </c>
      <c r="M51" s="43"/>
      <c r="N51" s="43">
        <v>4452</v>
      </c>
      <c r="O51" s="43"/>
      <c r="P51" s="43">
        <v>201</v>
      </c>
      <c r="Q51" s="43"/>
      <c r="R51" s="43">
        <v>506</v>
      </c>
      <c r="S51" s="43"/>
      <c r="T51" s="43">
        <v>2322</v>
      </c>
      <c r="U51" s="43"/>
      <c r="V51" s="43">
        <v>29669</v>
      </c>
      <c r="W51" s="7"/>
    </row>
    <row r="52" spans="1:23" s="5" customFormat="1" ht="12" thickBot="1">
      <c r="A52" s="59"/>
      <c r="B52" s="59"/>
      <c r="C52" s="60">
        <v>2011</v>
      </c>
      <c r="D52" s="61">
        <v>5858</v>
      </c>
      <c r="E52" s="61"/>
      <c r="F52" s="61">
        <v>280</v>
      </c>
      <c r="G52" s="61"/>
      <c r="H52" s="61">
        <v>3905</v>
      </c>
      <c r="I52" s="61"/>
      <c r="J52" s="61">
        <v>6523</v>
      </c>
      <c r="K52" s="61"/>
      <c r="L52" s="61">
        <v>6905</v>
      </c>
      <c r="M52" s="61"/>
      <c r="N52" s="61">
        <v>4450</v>
      </c>
      <c r="O52" s="61"/>
      <c r="P52" s="61">
        <v>364</v>
      </c>
      <c r="Q52" s="61"/>
      <c r="R52" s="61">
        <v>580</v>
      </c>
      <c r="S52" s="61"/>
      <c r="T52" s="61">
        <v>2866</v>
      </c>
      <c r="U52" s="61"/>
      <c r="V52" s="61">
        <v>32310</v>
      </c>
      <c r="W52" s="8"/>
    </row>
    <row r="53" spans="1:23" s="5" customFormat="1" ht="11.25">
      <c r="A53" s="4" t="s">
        <v>136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s="5" customFormat="1" ht="11.25">
      <c r="A54" s="13" t="s">
        <v>140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3" ht="10.5" customHeight="1"/>
    <row r="56" spans="1:23" ht="10.5" customHeight="1"/>
    <row r="57" spans="1:23" ht="10.5" customHeight="1"/>
    <row r="58" spans="1:23" ht="10.5" customHeight="1"/>
  </sheetData>
  <mergeCells count="35">
    <mergeCell ref="A47:B47"/>
    <mergeCell ref="D1:W1"/>
    <mergeCell ref="D2:W2"/>
    <mergeCell ref="D3:W3"/>
    <mergeCell ref="D4:W4"/>
    <mergeCell ref="A6:C6"/>
    <mergeCell ref="D6:U6"/>
    <mergeCell ref="V6:W6"/>
    <mergeCell ref="A7:C7"/>
    <mergeCell ref="D7:U7"/>
    <mergeCell ref="V7:W7"/>
    <mergeCell ref="A8:C8"/>
    <mergeCell ref="D8:E8"/>
    <mergeCell ref="F8:G8"/>
    <mergeCell ref="H8:I8"/>
    <mergeCell ref="J8:K8"/>
    <mergeCell ref="L8:M8"/>
    <mergeCell ref="N8:O8"/>
    <mergeCell ref="T10:U10"/>
    <mergeCell ref="V10:W10"/>
    <mergeCell ref="P8:Q8"/>
    <mergeCell ref="R8:S8"/>
    <mergeCell ref="T8:U8"/>
    <mergeCell ref="V8:W8"/>
    <mergeCell ref="P9:Q9"/>
    <mergeCell ref="A46:B46"/>
    <mergeCell ref="L10:M10"/>
    <mergeCell ref="N10:O10"/>
    <mergeCell ref="P10:Q10"/>
    <mergeCell ref="R10:S10"/>
    <mergeCell ref="A10:C10"/>
    <mergeCell ref="D10:E10"/>
    <mergeCell ref="F10:G10"/>
    <mergeCell ref="H10:I10"/>
    <mergeCell ref="J10:K10"/>
  </mergeCells>
  <printOptions horizontalCentered="1"/>
  <pageMargins left="0.47244094488188981" right="0.39370078740157483" top="0.19685039370078741" bottom="0.39370078740157483" header="0.51181102362204722" footer="0.39370078740157483"/>
  <pageSetup paperSize="13" scale="90" orientation="portrait" horizontalDpi="1200" verticalDpi="1200" r:id="rId1"/>
  <headerFooter scaleWithDoc="0">
    <oddFooter>&amp;C&amp;G&amp;"Arial,Regular"&amp;9 151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6"/>
  <sheetViews>
    <sheetView view="pageBreakPreview" zoomScaleSheetLayoutView="100" workbookViewId="0">
      <selection activeCell="Y50" sqref="Y50"/>
    </sheetView>
  </sheetViews>
  <sheetFormatPr defaultRowHeight="15.75"/>
  <cols>
    <col min="1" max="1" width="3.875" style="14" customWidth="1"/>
    <col min="2" max="2" width="6.625" style="14" customWidth="1"/>
    <col min="3" max="3" width="5" style="14" bestFit="1" customWidth="1"/>
    <col min="4" max="4" width="6" style="14" bestFit="1" customWidth="1"/>
    <col min="5" max="5" width="0.5" style="14" customWidth="1"/>
    <col min="6" max="6" width="5.25" style="14" bestFit="1" customWidth="1"/>
    <col min="7" max="7" width="0.5" style="14" customWidth="1"/>
    <col min="8" max="8" width="5.25" style="14" bestFit="1" customWidth="1"/>
    <col min="9" max="9" width="0.5" style="14" customWidth="1"/>
    <col min="10" max="10" width="5.25" style="14" bestFit="1" customWidth="1"/>
    <col min="11" max="11" width="0.5" style="14" customWidth="1"/>
    <col min="12" max="12" width="5.25" style="14" bestFit="1" customWidth="1"/>
    <col min="13" max="13" width="0.5" style="14" customWidth="1"/>
    <col min="14" max="14" width="4.125" style="14" bestFit="1" customWidth="1"/>
    <col min="15" max="15" width="0.5" style="14" customWidth="1"/>
    <col min="16" max="16" width="3.375" style="14" bestFit="1" customWidth="1"/>
    <col min="17" max="17" width="0.5" style="14" customWidth="1"/>
    <col min="18" max="18" width="4.125" style="14" bestFit="1" customWidth="1"/>
    <col min="19" max="19" width="0.5" style="14" customWidth="1"/>
    <col min="20" max="20" width="6" style="14" bestFit="1" customWidth="1"/>
    <col min="21" max="21" width="0.5" style="14" customWidth="1"/>
    <col min="22" max="16384" width="9" style="14"/>
  </cols>
  <sheetData>
    <row r="1" spans="1:21" s="5" customFormat="1" ht="11.25">
      <c r="A1" s="3" t="s">
        <v>0</v>
      </c>
      <c r="B1" s="4" t="s">
        <v>124</v>
      </c>
      <c r="C1" s="25"/>
      <c r="D1" s="81" t="s">
        <v>102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5" customFormat="1" ht="11.25">
      <c r="A2" s="6" t="s">
        <v>1</v>
      </c>
      <c r="B2" s="7"/>
      <c r="C2" s="25"/>
      <c r="D2" s="81" t="s">
        <v>147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</row>
    <row r="3" spans="1:21" s="5" customFormat="1" ht="11.25">
      <c r="A3" s="7"/>
      <c r="B3" s="7"/>
      <c r="C3" s="26"/>
      <c r="D3" s="82" t="s">
        <v>125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</row>
    <row r="4" spans="1:21" s="5" customFormat="1" ht="11.25">
      <c r="A4" s="7"/>
      <c r="B4" s="7"/>
      <c r="C4" s="26"/>
      <c r="D4" s="82" t="s">
        <v>145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</row>
    <row r="5" spans="1:21" s="5" customFormat="1" ht="12" thickBot="1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8"/>
    </row>
    <row r="6" spans="1:21" s="5" customFormat="1" ht="12" thickTop="1">
      <c r="A6" s="78" t="s">
        <v>81</v>
      </c>
      <c r="B6" s="78"/>
      <c r="C6" s="78"/>
      <c r="D6" s="78" t="s">
        <v>126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49" t="s">
        <v>84</v>
      </c>
      <c r="U6" s="49"/>
    </row>
    <row r="7" spans="1:21" s="5" customFormat="1" ht="11.25">
      <c r="A7" s="74" t="s">
        <v>72</v>
      </c>
      <c r="B7" s="74"/>
      <c r="C7" s="74"/>
      <c r="D7" s="76" t="s">
        <v>127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86" t="s">
        <v>79</v>
      </c>
      <c r="U7" s="89"/>
    </row>
    <row r="8" spans="1:21" s="5" customFormat="1" ht="11.25">
      <c r="A8" s="74"/>
      <c r="B8" s="74"/>
      <c r="C8" s="74"/>
      <c r="D8" s="88" t="s">
        <v>128</v>
      </c>
      <c r="E8" s="88"/>
      <c r="F8" s="88" t="s">
        <v>129</v>
      </c>
      <c r="G8" s="88"/>
      <c r="H8" s="88" t="s">
        <v>130</v>
      </c>
      <c r="I8" s="88"/>
      <c r="J8" s="88" t="s">
        <v>131</v>
      </c>
      <c r="K8" s="88"/>
      <c r="L8" s="88" t="s">
        <v>132</v>
      </c>
      <c r="M8" s="88"/>
      <c r="N8" s="88" t="s">
        <v>133</v>
      </c>
      <c r="O8" s="88"/>
      <c r="P8" s="88" t="s">
        <v>134</v>
      </c>
      <c r="Q8" s="88"/>
      <c r="R8" s="88" t="s">
        <v>135</v>
      </c>
      <c r="S8" s="88"/>
      <c r="T8" s="89"/>
      <c r="U8" s="89"/>
    </row>
    <row r="9" spans="1:21" s="5" customFormat="1" ht="12" thickBot="1">
      <c r="A9" s="77" t="s">
        <v>73</v>
      </c>
      <c r="B9" s="77"/>
      <c r="C9" s="77"/>
      <c r="D9" s="77" t="s">
        <v>74</v>
      </c>
      <c r="E9" s="77"/>
      <c r="F9" s="77" t="s">
        <v>75</v>
      </c>
      <c r="G9" s="77"/>
      <c r="H9" s="77" t="s">
        <v>76</v>
      </c>
      <c r="I9" s="77"/>
      <c r="J9" s="84" t="s">
        <v>77</v>
      </c>
      <c r="K9" s="77"/>
      <c r="L9" s="84" t="s">
        <v>78</v>
      </c>
      <c r="M9" s="77"/>
      <c r="N9" s="84" t="s">
        <v>85</v>
      </c>
      <c r="O9" s="77"/>
      <c r="P9" s="84" t="s">
        <v>86</v>
      </c>
      <c r="Q9" s="77"/>
      <c r="R9" s="84" t="s">
        <v>87</v>
      </c>
      <c r="S9" s="77"/>
      <c r="T9" s="84" t="s">
        <v>88</v>
      </c>
      <c r="U9" s="77"/>
    </row>
    <row r="10" spans="1:21" s="5" customFormat="1" ht="12.95" customHeight="1">
      <c r="A10" s="10" t="s">
        <v>2</v>
      </c>
      <c r="B10" s="7" t="s">
        <v>3</v>
      </c>
      <c r="C10" s="7"/>
      <c r="D10" s="16">
        <v>471</v>
      </c>
      <c r="E10" s="16"/>
      <c r="F10" s="16">
        <v>121</v>
      </c>
      <c r="G10" s="16"/>
      <c r="H10" s="16">
        <v>238</v>
      </c>
      <c r="I10" s="16"/>
      <c r="J10" s="16">
        <v>80</v>
      </c>
      <c r="K10" s="16"/>
      <c r="L10" s="16">
        <v>184</v>
      </c>
      <c r="M10" s="16"/>
      <c r="N10" s="16">
        <v>19</v>
      </c>
      <c r="O10" s="16"/>
      <c r="P10" s="16">
        <v>0</v>
      </c>
      <c r="Q10" s="16"/>
      <c r="R10" s="16">
        <v>1</v>
      </c>
      <c r="S10" s="16"/>
      <c r="T10" s="16">
        <f>SUM(D10:R10)</f>
        <v>1114</v>
      </c>
      <c r="U10" s="7"/>
    </row>
    <row r="11" spans="1:21" s="5" customFormat="1" ht="12.95" customHeight="1">
      <c r="A11" s="10" t="s">
        <v>4</v>
      </c>
      <c r="B11" s="7" t="s">
        <v>5</v>
      </c>
      <c r="C11" s="7"/>
      <c r="D11" s="16">
        <v>302</v>
      </c>
      <c r="E11" s="16"/>
      <c r="F11" s="16">
        <v>164</v>
      </c>
      <c r="G11" s="16"/>
      <c r="H11" s="16">
        <v>266</v>
      </c>
      <c r="I11" s="16"/>
      <c r="J11" s="16">
        <v>92</v>
      </c>
      <c r="K11" s="16"/>
      <c r="L11" s="16">
        <v>294</v>
      </c>
      <c r="M11" s="16"/>
      <c r="N11" s="16">
        <v>62</v>
      </c>
      <c r="O11" s="16"/>
      <c r="P11" s="16">
        <v>6</v>
      </c>
      <c r="Q11" s="16"/>
      <c r="R11" s="16">
        <v>3</v>
      </c>
      <c r="S11" s="16"/>
      <c r="T11" s="16">
        <f t="shared" ref="T11:T44" si="0">SUM(D11:R11)</f>
        <v>1189</v>
      </c>
      <c r="U11" s="7"/>
    </row>
    <row r="12" spans="1:21" s="5" customFormat="1" ht="12.95" customHeight="1">
      <c r="A12" s="10" t="s">
        <v>6</v>
      </c>
      <c r="B12" s="7" t="s">
        <v>7</v>
      </c>
      <c r="C12" s="7"/>
      <c r="D12" s="16">
        <v>209</v>
      </c>
      <c r="E12" s="16"/>
      <c r="F12" s="16">
        <v>104</v>
      </c>
      <c r="G12" s="16"/>
      <c r="H12" s="16">
        <v>177</v>
      </c>
      <c r="I12" s="16"/>
      <c r="J12" s="16">
        <v>90</v>
      </c>
      <c r="K12" s="16"/>
      <c r="L12" s="16">
        <v>248</v>
      </c>
      <c r="M12" s="16"/>
      <c r="N12" s="16">
        <v>12</v>
      </c>
      <c r="O12" s="16"/>
      <c r="P12" s="16">
        <v>0</v>
      </c>
      <c r="Q12" s="16"/>
      <c r="R12" s="16">
        <v>0</v>
      </c>
      <c r="S12" s="16"/>
      <c r="T12" s="16">
        <f t="shared" si="0"/>
        <v>840</v>
      </c>
      <c r="U12" s="7"/>
    </row>
    <row r="13" spans="1:21" s="5" customFormat="1" ht="12.95" customHeight="1">
      <c r="A13" s="10" t="s">
        <v>8</v>
      </c>
      <c r="B13" s="7" t="s">
        <v>9</v>
      </c>
      <c r="C13" s="7"/>
      <c r="D13" s="16">
        <v>315</v>
      </c>
      <c r="E13" s="16"/>
      <c r="F13" s="16">
        <v>90</v>
      </c>
      <c r="G13" s="16"/>
      <c r="H13" s="16">
        <v>144</v>
      </c>
      <c r="I13" s="16"/>
      <c r="J13" s="16">
        <v>76</v>
      </c>
      <c r="K13" s="16"/>
      <c r="L13" s="16">
        <v>123</v>
      </c>
      <c r="M13" s="16"/>
      <c r="N13" s="16">
        <v>7</v>
      </c>
      <c r="O13" s="16"/>
      <c r="P13" s="16">
        <v>0</v>
      </c>
      <c r="Q13" s="16"/>
      <c r="R13" s="16">
        <v>1</v>
      </c>
      <c r="S13" s="16"/>
      <c r="T13" s="16">
        <f t="shared" si="0"/>
        <v>756</v>
      </c>
      <c r="U13" s="7"/>
    </row>
    <row r="14" spans="1:21" s="5" customFormat="1" ht="12.95" customHeight="1">
      <c r="A14" s="10" t="s">
        <v>10</v>
      </c>
      <c r="B14" s="7" t="s">
        <v>11</v>
      </c>
      <c r="C14" s="7"/>
      <c r="D14" s="16">
        <v>453</v>
      </c>
      <c r="E14" s="16"/>
      <c r="F14" s="16">
        <v>136</v>
      </c>
      <c r="G14" s="16"/>
      <c r="H14" s="16">
        <v>261</v>
      </c>
      <c r="I14" s="16"/>
      <c r="J14" s="16">
        <v>75</v>
      </c>
      <c r="K14" s="16"/>
      <c r="L14" s="16">
        <v>228</v>
      </c>
      <c r="M14" s="16"/>
      <c r="N14" s="16">
        <v>12</v>
      </c>
      <c r="O14" s="16"/>
      <c r="P14" s="16">
        <v>0</v>
      </c>
      <c r="Q14" s="16"/>
      <c r="R14" s="16">
        <v>0</v>
      </c>
      <c r="S14" s="16"/>
      <c r="T14" s="16">
        <f t="shared" si="0"/>
        <v>1165</v>
      </c>
      <c r="U14" s="7"/>
    </row>
    <row r="15" spans="1:21" s="5" customFormat="1" ht="12.95" customHeight="1">
      <c r="A15" s="10" t="s">
        <v>12</v>
      </c>
      <c r="B15" s="7" t="s">
        <v>13</v>
      </c>
      <c r="C15" s="7"/>
      <c r="D15" s="16">
        <v>170</v>
      </c>
      <c r="E15" s="16"/>
      <c r="F15" s="16">
        <v>62</v>
      </c>
      <c r="G15" s="16"/>
      <c r="H15" s="16">
        <v>198</v>
      </c>
      <c r="I15" s="16"/>
      <c r="J15" s="16">
        <v>69</v>
      </c>
      <c r="K15" s="16"/>
      <c r="L15" s="16">
        <v>172</v>
      </c>
      <c r="M15" s="16"/>
      <c r="N15" s="16">
        <v>10</v>
      </c>
      <c r="O15" s="16"/>
      <c r="P15" s="16">
        <v>0</v>
      </c>
      <c r="Q15" s="16"/>
      <c r="R15" s="16">
        <v>1</v>
      </c>
      <c r="S15" s="16"/>
      <c r="T15" s="16">
        <f t="shared" si="0"/>
        <v>682</v>
      </c>
      <c r="U15" s="7"/>
    </row>
    <row r="16" spans="1:21" s="5" customFormat="1" ht="12.95" customHeight="1">
      <c r="A16" s="10" t="s">
        <v>14</v>
      </c>
      <c r="B16" s="7" t="s">
        <v>15</v>
      </c>
      <c r="C16" s="7"/>
      <c r="D16" s="16">
        <v>397</v>
      </c>
      <c r="E16" s="16"/>
      <c r="F16" s="16">
        <v>64</v>
      </c>
      <c r="G16" s="16"/>
      <c r="H16" s="16">
        <v>133</v>
      </c>
      <c r="I16" s="16"/>
      <c r="J16" s="16">
        <v>58</v>
      </c>
      <c r="K16" s="16"/>
      <c r="L16" s="16">
        <v>89</v>
      </c>
      <c r="M16" s="16"/>
      <c r="N16" s="16">
        <v>8</v>
      </c>
      <c r="O16" s="16"/>
      <c r="P16" s="16">
        <v>0</v>
      </c>
      <c r="Q16" s="16"/>
      <c r="R16" s="16">
        <v>0</v>
      </c>
      <c r="S16" s="16"/>
      <c r="T16" s="16">
        <f t="shared" si="0"/>
        <v>749</v>
      </c>
      <c r="U16" s="7"/>
    </row>
    <row r="17" spans="1:21" s="5" customFormat="1" ht="12.95" customHeight="1">
      <c r="A17" s="10" t="s">
        <v>16</v>
      </c>
      <c r="B17" s="7" t="s">
        <v>17</v>
      </c>
      <c r="C17" s="7"/>
      <c r="D17" s="16">
        <v>338</v>
      </c>
      <c r="E17" s="16"/>
      <c r="F17" s="16">
        <v>108</v>
      </c>
      <c r="G17" s="16"/>
      <c r="H17" s="16">
        <v>259</v>
      </c>
      <c r="I17" s="16"/>
      <c r="J17" s="16">
        <v>162</v>
      </c>
      <c r="K17" s="16"/>
      <c r="L17" s="16">
        <v>221</v>
      </c>
      <c r="M17" s="16"/>
      <c r="N17" s="16">
        <v>20</v>
      </c>
      <c r="O17" s="16"/>
      <c r="P17" s="16">
        <v>1</v>
      </c>
      <c r="Q17" s="16"/>
      <c r="R17" s="16">
        <v>0</v>
      </c>
      <c r="S17" s="16"/>
      <c r="T17" s="16">
        <f>D17+F17+H17+J17+L17+N17+P17+R17</f>
        <v>1109</v>
      </c>
      <c r="U17" s="7"/>
    </row>
    <row r="18" spans="1:21" s="5" customFormat="1" ht="12.95" customHeight="1">
      <c r="A18" s="10" t="s">
        <v>18</v>
      </c>
      <c r="B18" s="7" t="s">
        <v>19</v>
      </c>
      <c r="C18" s="7"/>
      <c r="D18" s="16">
        <v>225</v>
      </c>
      <c r="E18" s="16"/>
      <c r="F18" s="16">
        <v>88</v>
      </c>
      <c r="G18" s="16"/>
      <c r="H18" s="16">
        <v>157</v>
      </c>
      <c r="I18" s="16"/>
      <c r="J18" s="16">
        <v>73</v>
      </c>
      <c r="K18" s="16"/>
      <c r="L18" s="16">
        <v>174</v>
      </c>
      <c r="M18" s="16"/>
      <c r="N18" s="16">
        <v>27</v>
      </c>
      <c r="O18" s="16"/>
      <c r="P18" s="16">
        <v>2</v>
      </c>
      <c r="Q18" s="16"/>
      <c r="R18" s="16">
        <v>0</v>
      </c>
      <c r="S18" s="16"/>
      <c r="T18" s="16">
        <f t="shared" si="0"/>
        <v>746</v>
      </c>
      <c r="U18" s="7"/>
    </row>
    <row r="19" spans="1:21" s="5" customFormat="1" ht="12.95" customHeight="1">
      <c r="A19" s="10" t="s">
        <v>20</v>
      </c>
      <c r="B19" s="7" t="s">
        <v>21</v>
      </c>
      <c r="C19" s="7"/>
      <c r="D19" s="16">
        <v>180</v>
      </c>
      <c r="E19" s="16"/>
      <c r="F19" s="16">
        <v>94</v>
      </c>
      <c r="G19" s="16"/>
      <c r="H19" s="16">
        <v>301</v>
      </c>
      <c r="I19" s="16"/>
      <c r="J19" s="16">
        <v>158</v>
      </c>
      <c r="K19" s="16"/>
      <c r="L19" s="16">
        <v>358</v>
      </c>
      <c r="M19" s="16"/>
      <c r="N19" s="16">
        <v>57</v>
      </c>
      <c r="O19" s="16"/>
      <c r="P19" s="16">
        <v>2</v>
      </c>
      <c r="Q19" s="16"/>
      <c r="R19" s="16">
        <v>0</v>
      </c>
      <c r="S19" s="16"/>
      <c r="T19" s="16">
        <f t="shared" si="0"/>
        <v>1150</v>
      </c>
      <c r="U19" s="7"/>
    </row>
    <row r="20" spans="1:21" s="5" customFormat="1" ht="12.95" customHeight="1">
      <c r="A20" s="10" t="s">
        <v>22</v>
      </c>
      <c r="B20" s="7" t="s">
        <v>23</v>
      </c>
      <c r="C20" s="7"/>
      <c r="D20" s="16">
        <v>128</v>
      </c>
      <c r="E20" s="16"/>
      <c r="F20" s="16">
        <v>71</v>
      </c>
      <c r="G20" s="16"/>
      <c r="H20" s="16">
        <v>212</v>
      </c>
      <c r="I20" s="16"/>
      <c r="J20" s="16">
        <v>86</v>
      </c>
      <c r="K20" s="16"/>
      <c r="L20" s="16">
        <v>252</v>
      </c>
      <c r="M20" s="16"/>
      <c r="N20" s="16">
        <v>51</v>
      </c>
      <c r="O20" s="16"/>
      <c r="P20" s="16">
        <v>0</v>
      </c>
      <c r="Q20" s="16"/>
      <c r="R20" s="16">
        <v>0</v>
      </c>
      <c r="S20" s="16"/>
      <c r="T20" s="16">
        <f t="shared" si="0"/>
        <v>800</v>
      </c>
      <c r="U20" s="7"/>
    </row>
    <row r="21" spans="1:21" s="5" customFormat="1" ht="12.95" customHeight="1">
      <c r="A21" s="10" t="s">
        <v>24</v>
      </c>
      <c r="B21" s="7" t="s">
        <v>25</v>
      </c>
      <c r="C21" s="7"/>
      <c r="D21" s="16">
        <v>80</v>
      </c>
      <c r="E21" s="16"/>
      <c r="F21" s="16">
        <v>46</v>
      </c>
      <c r="G21" s="16"/>
      <c r="H21" s="16">
        <v>88</v>
      </c>
      <c r="I21" s="16"/>
      <c r="J21" s="16">
        <v>32</v>
      </c>
      <c r="K21" s="16"/>
      <c r="L21" s="16">
        <v>131</v>
      </c>
      <c r="M21" s="16"/>
      <c r="N21" s="16">
        <v>35</v>
      </c>
      <c r="O21" s="16"/>
      <c r="P21" s="16">
        <v>0</v>
      </c>
      <c r="Q21" s="16"/>
      <c r="R21" s="16">
        <v>0</v>
      </c>
      <c r="S21" s="16"/>
      <c r="T21" s="16">
        <f t="shared" si="0"/>
        <v>412</v>
      </c>
      <c r="U21" s="7"/>
    </row>
    <row r="22" spans="1:21" s="5" customFormat="1" ht="12.95" customHeight="1">
      <c r="A22" s="10" t="s">
        <v>26</v>
      </c>
      <c r="B22" s="7" t="s">
        <v>27</v>
      </c>
      <c r="C22" s="7"/>
      <c r="D22" s="16">
        <v>118</v>
      </c>
      <c r="E22" s="16"/>
      <c r="F22" s="16">
        <v>76</v>
      </c>
      <c r="G22" s="16"/>
      <c r="H22" s="16">
        <v>132</v>
      </c>
      <c r="I22" s="16"/>
      <c r="J22" s="16">
        <v>52</v>
      </c>
      <c r="K22" s="16"/>
      <c r="L22" s="16">
        <v>190</v>
      </c>
      <c r="M22" s="16"/>
      <c r="N22" s="16">
        <v>56</v>
      </c>
      <c r="O22" s="16"/>
      <c r="P22" s="16">
        <v>1</v>
      </c>
      <c r="Q22" s="16"/>
      <c r="R22" s="16">
        <v>0</v>
      </c>
      <c r="S22" s="16"/>
      <c r="T22" s="16">
        <f t="shared" si="0"/>
        <v>625</v>
      </c>
      <c r="U22" s="7"/>
    </row>
    <row r="23" spans="1:21" s="5" customFormat="1" ht="12.95" customHeight="1">
      <c r="A23" s="10" t="s">
        <v>28</v>
      </c>
      <c r="B23" s="7" t="s">
        <v>29</v>
      </c>
      <c r="C23" s="7"/>
      <c r="D23" s="16">
        <v>347</v>
      </c>
      <c r="E23" s="16"/>
      <c r="F23" s="16">
        <v>147</v>
      </c>
      <c r="G23" s="16"/>
      <c r="H23" s="16">
        <v>259</v>
      </c>
      <c r="I23" s="16"/>
      <c r="J23" s="16">
        <v>13</v>
      </c>
      <c r="K23" s="16"/>
      <c r="L23" s="16">
        <v>272</v>
      </c>
      <c r="M23" s="16"/>
      <c r="N23" s="16">
        <v>37</v>
      </c>
      <c r="O23" s="16"/>
      <c r="P23" s="16">
        <v>1</v>
      </c>
      <c r="Q23" s="16"/>
      <c r="R23" s="16">
        <v>82</v>
      </c>
      <c r="S23" s="16"/>
      <c r="T23" s="16">
        <f t="shared" si="0"/>
        <v>1158</v>
      </c>
      <c r="U23" s="7"/>
    </row>
    <row r="24" spans="1:21" s="5" customFormat="1" ht="12.95" customHeight="1">
      <c r="A24" s="10" t="s">
        <v>30</v>
      </c>
      <c r="B24" s="7" t="s">
        <v>31</v>
      </c>
      <c r="C24" s="7"/>
      <c r="D24" s="16">
        <v>469</v>
      </c>
      <c r="E24" s="16"/>
      <c r="F24" s="16">
        <v>123</v>
      </c>
      <c r="G24" s="16"/>
      <c r="H24" s="16">
        <v>174</v>
      </c>
      <c r="I24" s="16"/>
      <c r="J24" s="16">
        <v>46</v>
      </c>
      <c r="K24" s="16"/>
      <c r="L24" s="16">
        <v>152</v>
      </c>
      <c r="M24" s="16"/>
      <c r="N24" s="16">
        <v>20</v>
      </c>
      <c r="O24" s="16"/>
      <c r="P24" s="16">
        <v>0</v>
      </c>
      <c r="Q24" s="16"/>
      <c r="R24" s="16">
        <v>0</v>
      </c>
      <c r="S24" s="16"/>
      <c r="T24" s="16">
        <f t="shared" si="0"/>
        <v>984</v>
      </c>
      <c r="U24" s="7"/>
    </row>
    <row r="25" spans="1:21" s="5" customFormat="1" ht="12.95" customHeight="1">
      <c r="A25" s="10" t="s">
        <v>32</v>
      </c>
      <c r="B25" s="7" t="s">
        <v>33</v>
      </c>
      <c r="C25" s="7"/>
      <c r="D25" s="16">
        <v>223</v>
      </c>
      <c r="E25" s="16"/>
      <c r="F25" s="16">
        <v>79</v>
      </c>
      <c r="G25" s="16"/>
      <c r="H25" s="16">
        <v>145</v>
      </c>
      <c r="I25" s="16"/>
      <c r="J25" s="16">
        <v>47</v>
      </c>
      <c r="K25" s="16"/>
      <c r="L25" s="16">
        <v>167</v>
      </c>
      <c r="M25" s="16"/>
      <c r="N25" s="16">
        <v>26</v>
      </c>
      <c r="O25" s="16"/>
      <c r="P25" s="16">
        <v>0</v>
      </c>
      <c r="Q25" s="16"/>
      <c r="R25" s="16">
        <v>18</v>
      </c>
      <c r="S25" s="16"/>
      <c r="T25" s="16">
        <f t="shared" si="0"/>
        <v>705</v>
      </c>
      <c r="U25" s="7"/>
    </row>
    <row r="26" spans="1:21" s="5" customFormat="1" ht="12.95" customHeight="1">
      <c r="A26" s="10" t="s">
        <v>34</v>
      </c>
      <c r="B26" s="7" t="s">
        <v>35</v>
      </c>
      <c r="C26" s="7"/>
      <c r="D26" s="16">
        <v>402</v>
      </c>
      <c r="E26" s="16"/>
      <c r="F26" s="16">
        <v>111</v>
      </c>
      <c r="G26" s="16"/>
      <c r="H26" s="16">
        <v>131</v>
      </c>
      <c r="I26" s="16"/>
      <c r="J26" s="16">
        <v>29</v>
      </c>
      <c r="K26" s="16"/>
      <c r="L26" s="16">
        <v>135</v>
      </c>
      <c r="M26" s="16"/>
      <c r="N26" s="16">
        <v>3</v>
      </c>
      <c r="O26" s="16"/>
      <c r="P26" s="16">
        <v>0</v>
      </c>
      <c r="Q26" s="16"/>
      <c r="R26" s="16">
        <v>0</v>
      </c>
      <c r="S26" s="16"/>
      <c r="T26" s="16">
        <f t="shared" si="0"/>
        <v>811</v>
      </c>
      <c r="U26" s="7"/>
    </row>
    <row r="27" spans="1:21" s="5" customFormat="1" ht="12.95" customHeight="1">
      <c r="A27" s="10" t="s">
        <v>36</v>
      </c>
      <c r="B27" s="7" t="s">
        <v>37</v>
      </c>
      <c r="C27" s="7"/>
      <c r="D27" s="16">
        <v>744</v>
      </c>
      <c r="E27" s="16"/>
      <c r="F27" s="16">
        <v>249</v>
      </c>
      <c r="G27" s="16"/>
      <c r="H27" s="16">
        <v>362</v>
      </c>
      <c r="I27" s="16"/>
      <c r="J27" s="16">
        <v>88</v>
      </c>
      <c r="K27" s="16"/>
      <c r="L27" s="16">
        <v>287</v>
      </c>
      <c r="M27" s="16"/>
      <c r="N27" s="16">
        <v>26</v>
      </c>
      <c r="O27" s="16"/>
      <c r="P27" s="16">
        <v>0</v>
      </c>
      <c r="Q27" s="16"/>
      <c r="R27" s="16">
        <v>0</v>
      </c>
      <c r="S27" s="16"/>
      <c r="T27" s="16">
        <f t="shared" si="0"/>
        <v>1756</v>
      </c>
      <c r="U27" s="7"/>
    </row>
    <row r="28" spans="1:21" s="5" customFormat="1" ht="12.95" customHeight="1">
      <c r="A28" s="10" t="s">
        <v>38</v>
      </c>
      <c r="B28" s="7" t="s">
        <v>39</v>
      </c>
      <c r="C28" s="7"/>
      <c r="D28" s="16">
        <v>381</v>
      </c>
      <c r="E28" s="16"/>
      <c r="F28" s="16">
        <v>151</v>
      </c>
      <c r="G28" s="16"/>
      <c r="H28" s="16">
        <v>365</v>
      </c>
      <c r="I28" s="16"/>
      <c r="J28" s="16">
        <v>74</v>
      </c>
      <c r="K28" s="16"/>
      <c r="L28" s="16">
        <v>315</v>
      </c>
      <c r="M28" s="16"/>
      <c r="N28" s="16">
        <v>17</v>
      </c>
      <c r="O28" s="16"/>
      <c r="P28" s="16">
        <v>0</v>
      </c>
      <c r="Q28" s="16"/>
      <c r="R28" s="16">
        <v>15</v>
      </c>
      <c r="S28" s="16"/>
      <c r="T28" s="16">
        <f t="shared" si="0"/>
        <v>1318</v>
      </c>
      <c r="U28" s="7"/>
    </row>
    <row r="29" spans="1:21" s="5" customFormat="1" ht="12.95" customHeight="1">
      <c r="A29" s="10" t="s">
        <v>40</v>
      </c>
      <c r="B29" s="7" t="s">
        <v>41</v>
      </c>
      <c r="C29" s="7"/>
      <c r="D29" s="16">
        <v>423</v>
      </c>
      <c r="E29" s="16"/>
      <c r="F29" s="16">
        <v>173</v>
      </c>
      <c r="G29" s="16"/>
      <c r="H29" s="16">
        <v>266</v>
      </c>
      <c r="I29" s="16"/>
      <c r="J29" s="16">
        <v>43</v>
      </c>
      <c r="K29" s="16"/>
      <c r="L29" s="16">
        <v>192</v>
      </c>
      <c r="M29" s="16"/>
      <c r="N29" s="16">
        <v>24</v>
      </c>
      <c r="O29" s="16"/>
      <c r="P29" s="16">
        <v>0</v>
      </c>
      <c r="Q29" s="16"/>
      <c r="R29" s="16">
        <v>22</v>
      </c>
      <c r="S29" s="16"/>
      <c r="T29" s="16">
        <f t="shared" si="0"/>
        <v>1143</v>
      </c>
      <c r="U29" s="7"/>
    </row>
    <row r="30" spans="1:21" s="5" customFormat="1" ht="12.95" customHeight="1">
      <c r="A30" s="10" t="s">
        <v>42</v>
      </c>
      <c r="B30" s="7" t="s">
        <v>43</v>
      </c>
      <c r="C30" s="7"/>
      <c r="D30" s="16">
        <v>911</v>
      </c>
      <c r="E30" s="16"/>
      <c r="F30" s="16">
        <v>210</v>
      </c>
      <c r="G30" s="16"/>
      <c r="H30" s="16">
        <v>262</v>
      </c>
      <c r="I30" s="16"/>
      <c r="J30" s="16">
        <v>54</v>
      </c>
      <c r="K30" s="16"/>
      <c r="L30" s="16">
        <v>189</v>
      </c>
      <c r="M30" s="16"/>
      <c r="N30" s="16">
        <v>30</v>
      </c>
      <c r="O30" s="16"/>
      <c r="P30" s="16">
        <v>4</v>
      </c>
      <c r="Q30" s="16"/>
      <c r="R30" s="16">
        <v>0</v>
      </c>
      <c r="S30" s="16"/>
      <c r="T30" s="16">
        <f t="shared" si="0"/>
        <v>1660</v>
      </c>
      <c r="U30" s="7"/>
    </row>
    <row r="31" spans="1:21" s="5" customFormat="1" ht="12.95" customHeight="1">
      <c r="A31" s="10" t="s">
        <v>44</v>
      </c>
      <c r="B31" s="7" t="s">
        <v>45</v>
      </c>
      <c r="C31" s="7"/>
      <c r="D31" s="16">
        <v>296</v>
      </c>
      <c r="E31" s="16"/>
      <c r="F31" s="16">
        <v>93</v>
      </c>
      <c r="G31" s="16"/>
      <c r="H31" s="16">
        <v>195</v>
      </c>
      <c r="I31" s="16"/>
      <c r="J31" s="16">
        <v>61</v>
      </c>
      <c r="K31" s="16"/>
      <c r="L31" s="16">
        <v>168</v>
      </c>
      <c r="M31" s="16"/>
      <c r="N31" s="16">
        <v>34</v>
      </c>
      <c r="O31" s="16"/>
      <c r="P31" s="16">
        <v>3</v>
      </c>
      <c r="Q31" s="16"/>
      <c r="R31" s="16">
        <v>0</v>
      </c>
      <c r="S31" s="16"/>
      <c r="T31" s="16">
        <f t="shared" si="0"/>
        <v>850</v>
      </c>
      <c r="U31" s="7"/>
    </row>
    <row r="32" spans="1:21" s="5" customFormat="1" ht="12.95" customHeight="1">
      <c r="A32" s="10" t="s">
        <v>46</v>
      </c>
      <c r="B32" s="7" t="s">
        <v>47</v>
      </c>
      <c r="C32" s="7"/>
      <c r="D32" s="16">
        <v>212</v>
      </c>
      <c r="E32" s="16"/>
      <c r="F32" s="16">
        <v>68</v>
      </c>
      <c r="G32" s="16"/>
      <c r="H32" s="16">
        <v>131</v>
      </c>
      <c r="I32" s="16"/>
      <c r="J32" s="16">
        <v>62</v>
      </c>
      <c r="K32" s="16"/>
      <c r="L32" s="16">
        <v>124</v>
      </c>
      <c r="M32" s="16"/>
      <c r="N32" s="16">
        <v>15</v>
      </c>
      <c r="O32" s="16"/>
      <c r="P32" s="16">
        <v>1</v>
      </c>
      <c r="Q32" s="16"/>
      <c r="R32" s="16">
        <v>0</v>
      </c>
      <c r="S32" s="16"/>
      <c r="T32" s="16">
        <f t="shared" si="0"/>
        <v>613</v>
      </c>
      <c r="U32" s="7"/>
    </row>
    <row r="33" spans="1:21" s="5" customFormat="1" ht="12.95" customHeight="1">
      <c r="A33" s="10" t="s">
        <v>48</v>
      </c>
      <c r="B33" s="7" t="s">
        <v>49</v>
      </c>
      <c r="C33" s="7"/>
      <c r="D33" s="16">
        <v>503</v>
      </c>
      <c r="E33" s="16"/>
      <c r="F33" s="16">
        <v>150</v>
      </c>
      <c r="G33" s="16"/>
      <c r="H33" s="16">
        <v>235</v>
      </c>
      <c r="I33" s="16"/>
      <c r="J33" s="16">
        <v>66</v>
      </c>
      <c r="K33" s="16"/>
      <c r="L33" s="16">
        <v>166</v>
      </c>
      <c r="M33" s="16"/>
      <c r="N33" s="16">
        <v>16</v>
      </c>
      <c r="O33" s="16"/>
      <c r="P33" s="16">
        <v>0</v>
      </c>
      <c r="Q33" s="16"/>
      <c r="R33" s="16">
        <v>1</v>
      </c>
      <c r="S33" s="16"/>
      <c r="T33" s="16">
        <f t="shared" si="0"/>
        <v>1137</v>
      </c>
      <c r="U33" s="7"/>
    </row>
    <row r="34" spans="1:21" s="5" customFormat="1" ht="12.95" customHeight="1">
      <c r="A34" s="10" t="s">
        <v>50</v>
      </c>
      <c r="B34" s="7" t="s">
        <v>51</v>
      </c>
      <c r="C34" s="7"/>
      <c r="D34" s="16">
        <v>283</v>
      </c>
      <c r="E34" s="16"/>
      <c r="F34" s="16">
        <v>86</v>
      </c>
      <c r="G34" s="16"/>
      <c r="H34" s="16">
        <v>139</v>
      </c>
      <c r="I34" s="16"/>
      <c r="J34" s="16">
        <v>57</v>
      </c>
      <c r="K34" s="16"/>
      <c r="L34" s="16">
        <v>109</v>
      </c>
      <c r="M34" s="16"/>
      <c r="N34" s="16">
        <v>8</v>
      </c>
      <c r="O34" s="16"/>
      <c r="P34" s="16">
        <v>0</v>
      </c>
      <c r="Q34" s="16"/>
      <c r="R34" s="16">
        <v>0</v>
      </c>
      <c r="S34" s="16"/>
      <c r="T34" s="16">
        <f t="shared" si="0"/>
        <v>682</v>
      </c>
      <c r="U34" s="7"/>
    </row>
    <row r="35" spans="1:21" s="5" customFormat="1" ht="12.95" customHeight="1">
      <c r="A35" s="10" t="s">
        <v>52</v>
      </c>
      <c r="B35" s="7" t="s">
        <v>53</v>
      </c>
      <c r="C35" s="7"/>
      <c r="D35" s="16">
        <v>228</v>
      </c>
      <c r="E35" s="16"/>
      <c r="F35" s="16">
        <v>70</v>
      </c>
      <c r="G35" s="16"/>
      <c r="H35" s="16">
        <v>149</v>
      </c>
      <c r="I35" s="16"/>
      <c r="J35" s="16">
        <v>56</v>
      </c>
      <c r="K35" s="16"/>
      <c r="L35" s="16">
        <v>133</v>
      </c>
      <c r="M35" s="16"/>
      <c r="N35" s="16">
        <v>12</v>
      </c>
      <c r="O35" s="16"/>
      <c r="P35" s="16">
        <v>0</v>
      </c>
      <c r="Q35" s="16"/>
      <c r="R35" s="16">
        <v>0</v>
      </c>
      <c r="S35" s="16"/>
      <c r="T35" s="16">
        <f t="shared" si="0"/>
        <v>648</v>
      </c>
      <c r="U35" s="7"/>
    </row>
    <row r="36" spans="1:21" s="5" customFormat="1" ht="12.95" customHeight="1">
      <c r="A36" s="10" t="s">
        <v>54</v>
      </c>
      <c r="B36" s="7" t="s">
        <v>55</v>
      </c>
      <c r="C36" s="7"/>
      <c r="D36" s="16">
        <v>271</v>
      </c>
      <c r="E36" s="16"/>
      <c r="F36" s="16">
        <v>87</v>
      </c>
      <c r="G36" s="16"/>
      <c r="H36" s="16">
        <v>109</v>
      </c>
      <c r="I36" s="16"/>
      <c r="J36" s="16">
        <v>41</v>
      </c>
      <c r="K36" s="16"/>
      <c r="L36" s="16">
        <v>126</v>
      </c>
      <c r="M36" s="16"/>
      <c r="N36" s="16">
        <v>8</v>
      </c>
      <c r="O36" s="16"/>
      <c r="P36" s="16">
        <v>0</v>
      </c>
      <c r="Q36" s="16"/>
      <c r="R36" s="16">
        <v>0</v>
      </c>
      <c r="S36" s="16"/>
      <c r="T36" s="16">
        <f t="shared" si="0"/>
        <v>642</v>
      </c>
      <c r="U36" s="7"/>
    </row>
    <row r="37" spans="1:21" s="5" customFormat="1" ht="12.95" customHeight="1">
      <c r="A37" s="10" t="s">
        <v>56</v>
      </c>
      <c r="B37" s="7" t="s">
        <v>57</v>
      </c>
      <c r="C37" s="7"/>
      <c r="D37" s="16">
        <v>552</v>
      </c>
      <c r="E37" s="16"/>
      <c r="F37" s="16">
        <v>136</v>
      </c>
      <c r="G37" s="16"/>
      <c r="H37" s="16">
        <v>251</v>
      </c>
      <c r="I37" s="16"/>
      <c r="J37" s="16">
        <v>75</v>
      </c>
      <c r="K37" s="16"/>
      <c r="L37" s="16">
        <v>200</v>
      </c>
      <c r="M37" s="16"/>
      <c r="N37" s="16">
        <v>15</v>
      </c>
      <c r="O37" s="16"/>
      <c r="P37" s="16">
        <v>0</v>
      </c>
      <c r="Q37" s="16"/>
      <c r="R37" s="16">
        <v>0</v>
      </c>
      <c r="S37" s="16"/>
      <c r="T37" s="16">
        <f t="shared" si="0"/>
        <v>1229</v>
      </c>
      <c r="U37" s="7"/>
    </row>
    <row r="38" spans="1:21" s="5" customFormat="1" ht="12.95" customHeight="1">
      <c r="A38" s="10" t="s">
        <v>58</v>
      </c>
      <c r="B38" s="7" t="s">
        <v>59</v>
      </c>
      <c r="C38" s="7"/>
      <c r="D38" s="16">
        <v>544</v>
      </c>
      <c r="E38" s="16"/>
      <c r="F38" s="16">
        <v>138</v>
      </c>
      <c r="G38" s="16"/>
      <c r="H38" s="16">
        <v>209</v>
      </c>
      <c r="I38" s="16"/>
      <c r="J38" s="16">
        <v>76</v>
      </c>
      <c r="K38" s="16"/>
      <c r="L38" s="16">
        <v>194</v>
      </c>
      <c r="M38" s="16"/>
      <c r="N38" s="16">
        <v>12</v>
      </c>
      <c r="O38" s="16"/>
      <c r="P38" s="16">
        <v>1</v>
      </c>
      <c r="Q38" s="16"/>
      <c r="R38" s="16">
        <v>0</v>
      </c>
      <c r="S38" s="16"/>
      <c r="T38" s="16">
        <f t="shared" si="0"/>
        <v>1174</v>
      </c>
      <c r="U38" s="7"/>
    </row>
    <row r="39" spans="1:21" s="5" customFormat="1" ht="12.95" customHeight="1">
      <c r="A39" s="10" t="s">
        <v>60</v>
      </c>
      <c r="B39" s="7" t="s">
        <v>61</v>
      </c>
      <c r="C39" s="7"/>
      <c r="D39" s="16">
        <v>19</v>
      </c>
      <c r="E39" s="16"/>
      <c r="F39" s="16">
        <v>16</v>
      </c>
      <c r="G39" s="16"/>
      <c r="H39" s="16">
        <v>44</v>
      </c>
      <c r="I39" s="16"/>
      <c r="J39" s="16">
        <v>18</v>
      </c>
      <c r="K39" s="16"/>
      <c r="L39" s="16">
        <v>50</v>
      </c>
      <c r="M39" s="16"/>
      <c r="N39" s="16">
        <v>3</v>
      </c>
      <c r="O39" s="16"/>
      <c r="P39" s="16">
        <v>0</v>
      </c>
      <c r="Q39" s="16"/>
      <c r="R39" s="16">
        <v>0</v>
      </c>
      <c r="S39" s="16"/>
      <c r="T39" s="16">
        <f t="shared" si="0"/>
        <v>150</v>
      </c>
      <c r="U39" s="7"/>
    </row>
    <row r="40" spans="1:21" s="5" customFormat="1" ht="12.95" customHeight="1">
      <c r="A40" s="10" t="s">
        <v>62</v>
      </c>
      <c r="B40" s="7" t="s">
        <v>63</v>
      </c>
      <c r="C40" s="7"/>
      <c r="D40" s="16">
        <v>73</v>
      </c>
      <c r="E40" s="16"/>
      <c r="F40" s="16">
        <v>64</v>
      </c>
      <c r="G40" s="16"/>
      <c r="H40" s="16">
        <v>190</v>
      </c>
      <c r="I40" s="16"/>
      <c r="J40" s="16">
        <v>66</v>
      </c>
      <c r="K40" s="16"/>
      <c r="L40" s="16">
        <v>248</v>
      </c>
      <c r="M40" s="16"/>
      <c r="N40" s="16">
        <v>52</v>
      </c>
      <c r="O40" s="16"/>
      <c r="P40" s="16">
        <v>2</v>
      </c>
      <c r="Q40" s="16"/>
      <c r="R40" s="16">
        <v>1</v>
      </c>
      <c r="S40" s="16"/>
      <c r="T40" s="16">
        <f t="shared" si="0"/>
        <v>696</v>
      </c>
      <c r="U40" s="7"/>
    </row>
    <row r="41" spans="1:21" s="5" customFormat="1" ht="12.95" customHeight="1">
      <c r="A41" s="10" t="s">
        <v>64</v>
      </c>
      <c r="B41" s="7" t="s">
        <v>65</v>
      </c>
      <c r="C41" s="7"/>
      <c r="D41" s="16">
        <v>55</v>
      </c>
      <c r="E41" s="16"/>
      <c r="F41" s="16">
        <v>22</v>
      </c>
      <c r="G41" s="16"/>
      <c r="H41" s="16">
        <v>55</v>
      </c>
      <c r="I41" s="16"/>
      <c r="J41" s="16">
        <v>16</v>
      </c>
      <c r="K41" s="16"/>
      <c r="L41" s="16">
        <v>61</v>
      </c>
      <c r="M41" s="16"/>
      <c r="N41" s="16">
        <v>10</v>
      </c>
      <c r="O41" s="16"/>
      <c r="P41" s="16">
        <v>0</v>
      </c>
      <c r="Q41" s="16"/>
      <c r="R41" s="16">
        <v>0</v>
      </c>
      <c r="S41" s="16"/>
      <c r="T41" s="16">
        <f t="shared" si="0"/>
        <v>219</v>
      </c>
      <c r="U41" s="7"/>
    </row>
    <row r="42" spans="1:21" s="5" customFormat="1" ht="12.95" customHeight="1">
      <c r="A42" s="10" t="s">
        <v>66</v>
      </c>
      <c r="B42" s="7" t="s">
        <v>67</v>
      </c>
      <c r="C42" s="7"/>
      <c r="D42" s="16">
        <v>413</v>
      </c>
      <c r="E42" s="16"/>
      <c r="F42" s="16">
        <v>205</v>
      </c>
      <c r="G42" s="16"/>
      <c r="H42" s="16">
        <v>571</v>
      </c>
      <c r="I42" s="16"/>
      <c r="J42" s="16">
        <v>226</v>
      </c>
      <c r="K42" s="16"/>
      <c r="L42" s="16">
        <v>648</v>
      </c>
      <c r="M42" s="16"/>
      <c r="N42" s="16">
        <v>194</v>
      </c>
      <c r="O42" s="16"/>
      <c r="P42" s="16">
        <v>14</v>
      </c>
      <c r="Q42" s="16"/>
      <c r="R42" s="16">
        <v>0</v>
      </c>
      <c r="S42" s="16"/>
      <c r="T42" s="16">
        <f t="shared" si="0"/>
        <v>2271</v>
      </c>
      <c r="U42" s="7"/>
    </row>
    <row r="43" spans="1:21" s="5" customFormat="1" ht="12.95" customHeight="1">
      <c r="A43" s="10" t="s">
        <v>68</v>
      </c>
      <c r="B43" s="7" t="s">
        <v>69</v>
      </c>
      <c r="C43" s="7"/>
      <c r="D43" s="16">
        <v>71</v>
      </c>
      <c r="E43" s="16"/>
      <c r="F43" s="16">
        <v>48</v>
      </c>
      <c r="G43" s="16"/>
      <c r="H43" s="16">
        <v>154</v>
      </c>
      <c r="I43" s="16"/>
      <c r="J43" s="16">
        <v>27</v>
      </c>
      <c r="K43" s="16"/>
      <c r="L43" s="16">
        <v>100</v>
      </c>
      <c r="M43" s="16"/>
      <c r="N43" s="16">
        <v>13</v>
      </c>
      <c r="O43" s="16"/>
      <c r="P43" s="16">
        <v>0</v>
      </c>
      <c r="Q43" s="16"/>
      <c r="R43" s="16">
        <v>0</v>
      </c>
      <c r="S43" s="16"/>
      <c r="T43" s="16">
        <f t="shared" si="0"/>
        <v>413</v>
      </c>
      <c r="U43" s="7"/>
    </row>
    <row r="44" spans="1:21" s="5" customFormat="1" ht="12.95" customHeight="1" thickBot="1">
      <c r="A44" s="11" t="s">
        <v>70</v>
      </c>
      <c r="B44" s="8" t="s">
        <v>71</v>
      </c>
      <c r="C44" s="8"/>
      <c r="D44" s="15">
        <v>107</v>
      </c>
      <c r="E44" s="15"/>
      <c r="F44" s="15">
        <v>41</v>
      </c>
      <c r="G44" s="15"/>
      <c r="H44" s="15">
        <v>77</v>
      </c>
      <c r="I44" s="15"/>
      <c r="J44" s="15">
        <v>28</v>
      </c>
      <c r="K44" s="15"/>
      <c r="L44" s="15">
        <v>98</v>
      </c>
      <c r="M44" s="15"/>
      <c r="N44" s="15">
        <v>10</v>
      </c>
      <c r="O44" s="15"/>
      <c r="P44" s="15">
        <v>0</v>
      </c>
      <c r="Q44" s="15"/>
      <c r="R44" s="15">
        <v>0</v>
      </c>
      <c r="S44" s="15"/>
      <c r="T44" s="15">
        <f t="shared" si="0"/>
        <v>361</v>
      </c>
      <c r="U44" s="8"/>
    </row>
    <row r="45" spans="1:21" s="5" customFormat="1" ht="12" thickBot="1">
      <c r="A45" s="75" t="s">
        <v>89</v>
      </c>
      <c r="B45" s="75"/>
      <c r="C45" s="40">
        <v>2017</v>
      </c>
      <c r="D45" s="43">
        <f>SUM(D10:D44)</f>
        <v>10913</v>
      </c>
      <c r="E45" s="43"/>
      <c r="F45" s="43">
        <f>SUM(F10:F44)</f>
        <v>3691</v>
      </c>
      <c r="G45" s="43"/>
      <c r="H45" s="43">
        <f>SUM(H10:H44)</f>
        <v>7039</v>
      </c>
      <c r="I45" s="43"/>
      <c r="J45" s="43">
        <f>SUM(J10:J44)</f>
        <v>2372</v>
      </c>
      <c r="K45" s="43">
        <v>0</v>
      </c>
      <c r="L45" s="43">
        <f>SUM(L10:L44)</f>
        <v>6798</v>
      </c>
      <c r="M45" s="43">
        <v>0</v>
      </c>
      <c r="N45" s="43">
        <f>SUM(N10:N44)</f>
        <v>961</v>
      </c>
      <c r="O45" s="43"/>
      <c r="P45" s="43">
        <f>SUM(P10:P44)</f>
        <v>38</v>
      </c>
      <c r="Q45" s="43"/>
      <c r="R45" s="43">
        <f>SUM(R10:R44)</f>
        <v>145</v>
      </c>
      <c r="S45" s="43"/>
      <c r="T45" s="43">
        <f>SUM(T10:T44)</f>
        <v>31957</v>
      </c>
      <c r="U45" s="9"/>
    </row>
    <row r="46" spans="1:21" s="5" customFormat="1" ht="11.25">
      <c r="A46" s="75"/>
      <c r="B46" s="75"/>
      <c r="C46" s="40">
        <v>2016</v>
      </c>
      <c r="D46" s="43">
        <v>8097</v>
      </c>
      <c r="E46" s="43"/>
      <c r="F46" s="43">
        <v>2675</v>
      </c>
      <c r="G46" s="43"/>
      <c r="H46" s="43">
        <v>5215</v>
      </c>
      <c r="I46" s="43"/>
      <c r="J46" s="43">
        <v>2102</v>
      </c>
      <c r="K46" s="43">
        <v>0</v>
      </c>
      <c r="L46" s="43">
        <v>5885</v>
      </c>
      <c r="M46" s="43">
        <v>0</v>
      </c>
      <c r="N46" s="43">
        <v>955</v>
      </c>
      <c r="O46" s="43"/>
      <c r="P46" s="43">
        <v>49</v>
      </c>
      <c r="Q46" s="43"/>
      <c r="R46" s="43">
        <v>97</v>
      </c>
      <c r="S46" s="43"/>
      <c r="T46" s="43">
        <v>25075</v>
      </c>
      <c r="U46" s="9"/>
    </row>
    <row r="47" spans="1:21" s="5" customFormat="1" ht="11.25">
      <c r="A47" s="42"/>
      <c r="B47" s="42"/>
      <c r="C47" s="40">
        <v>2015</v>
      </c>
      <c r="D47" s="47">
        <v>8263</v>
      </c>
      <c r="E47" s="47"/>
      <c r="F47" s="47">
        <v>2823</v>
      </c>
      <c r="G47" s="47"/>
      <c r="H47" s="47">
        <v>5250</v>
      </c>
      <c r="I47" s="47"/>
      <c r="J47" s="47">
        <v>1824</v>
      </c>
      <c r="K47" s="47">
        <v>0</v>
      </c>
      <c r="L47" s="47">
        <v>4543</v>
      </c>
      <c r="M47" s="47">
        <v>0</v>
      </c>
      <c r="N47" s="47">
        <v>752</v>
      </c>
      <c r="O47" s="47"/>
      <c r="P47" s="47">
        <v>54</v>
      </c>
      <c r="Q47" s="47"/>
      <c r="R47" s="47">
        <v>64</v>
      </c>
      <c r="S47" s="47"/>
      <c r="T47" s="47">
        <v>23573</v>
      </c>
      <c r="U47" s="9"/>
    </row>
    <row r="48" spans="1:21" s="5" customFormat="1" ht="11.25">
      <c r="A48" s="42"/>
      <c r="B48" s="42"/>
      <c r="C48" s="40">
        <v>2014</v>
      </c>
      <c r="D48" s="43">
        <v>8647</v>
      </c>
      <c r="E48" s="43"/>
      <c r="F48" s="43">
        <v>2973</v>
      </c>
      <c r="G48" s="43"/>
      <c r="H48" s="43">
        <v>5668</v>
      </c>
      <c r="I48" s="43"/>
      <c r="J48" s="43">
        <v>2063</v>
      </c>
      <c r="K48" s="43">
        <v>0</v>
      </c>
      <c r="L48" s="43">
        <v>4828</v>
      </c>
      <c r="M48" s="43">
        <v>0</v>
      </c>
      <c r="N48" s="43">
        <v>706</v>
      </c>
      <c r="O48" s="43"/>
      <c r="P48" s="43">
        <v>26</v>
      </c>
      <c r="Q48" s="43"/>
      <c r="R48" s="43">
        <v>143</v>
      </c>
      <c r="S48" s="43"/>
      <c r="T48" s="43">
        <v>25206</v>
      </c>
      <c r="U48" s="9"/>
    </row>
    <row r="49" spans="1:21" s="5" customFormat="1" ht="11.25">
      <c r="A49" s="42"/>
      <c r="B49" s="42"/>
      <c r="C49" s="40">
        <v>2013</v>
      </c>
      <c r="D49" s="43">
        <v>10676</v>
      </c>
      <c r="E49" s="43"/>
      <c r="F49" s="43">
        <v>3659</v>
      </c>
      <c r="G49" s="43"/>
      <c r="H49" s="43">
        <v>6569</v>
      </c>
      <c r="I49" s="43"/>
      <c r="J49" s="43">
        <v>2680</v>
      </c>
      <c r="K49" s="43">
        <v>0</v>
      </c>
      <c r="L49" s="43">
        <v>5236</v>
      </c>
      <c r="M49" s="43">
        <v>0</v>
      </c>
      <c r="N49" s="43">
        <v>772</v>
      </c>
      <c r="O49" s="43"/>
      <c r="P49" s="43">
        <v>44</v>
      </c>
      <c r="Q49" s="43"/>
      <c r="R49" s="43">
        <v>6</v>
      </c>
      <c r="S49" s="43"/>
      <c r="T49" s="43">
        <v>29642</v>
      </c>
      <c r="U49" s="9"/>
    </row>
    <row r="50" spans="1:21" s="5" customFormat="1" ht="12" thickBot="1">
      <c r="A50" s="44"/>
      <c r="B50" s="44"/>
      <c r="C50" s="45">
        <v>2012</v>
      </c>
      <c r="D50" s="46">
        <v>11025</v>
      </c>
      <c r="E50" s="46"/>
      <c r="F50" s="46">
        <v>3720</v>
      </c>
      <c r="G50" s="46"/>
      <c r="H50" s="46">
        <v>6582</v>
      </c>
      <c r="I50" s="46"/>
      <c r="J50" s="46">
        <v>2447</v>
      </c>
      <c r="K50" s="46">
        <v>0</v>
      </c>
      <c r="L50" s="46">
        <v>4887</v>
      </c>
      <c r="M50" s="46">
        <v>0</v>
      </c>
      <c r="N50" s="46">
        <v>725</v>
      </c>
      <c r="O50" s="46"/>
      <c r="P50" s="46">
        <v>35</v>
      </c>
      <c r="Q50" s="46"/>
      <c r="R50" s="46">
        <v>248</v>
      </c>
      <c r="S50" s="46"/>
      <c r="T50" s="46">
        <v>29669</v>
      </c>
      <c r="U50" s="12"/>
    </row>
    <row r="51" spans="1:21" s="5" customFormat="1" ht="12" thickTop="1">
      <c r="A51" s="4" t="s">
        <v>136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 s="5" customFormat="1" ht="11.25">
      <c r="A52" s="13" t="s">
        <v>140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 ht="10.5" customHeight="1"/>
    <row r="54" spans="1:21" ht="10.5" customHeight="1"/>
    <row r="55" spans="1:21" ht="10.5" customHeight="1"/>
    <row r="56" spans="1:21" ht="10.5" customHeight="1"/>
  </sheetData>
  <mergeCells count="31">
    <mergeCell ref="A46:B46"/>
    <mergeCell ref="D1:U1"/>
    <mergeCell ref="D2:U2"/>
    <mergeCell ref="D3:U3"/>
    <mergeCell ref="D4:U4"/>
    <mergeCell ref="A6:C6"/>
    <mergeCell ref="D6:S6"/>
    <mergeCell ref="A7:C7"/>
    <mergeCell ref="D7:S7"/>
    <mergeCell ref="T7:U7"/>
    <mergeCell ref="A8:C8"/>
    <mergeCell ref="D8:E8"/>
    <mergeCell ref="F8:G8"/>
    <mergeCell ref="H8:I8"/>
    <mergeCell ref="J8:K8"/>
    <mergeCell ref="L8:M8"/>
    <mergeCell ref="N8:O8"/>
    <mergeCell ref="P9:Q9"/>
    <mergeCell ref="R9:S9"/>
    <mergeCell ref="T9:U9"/>
    <mergeCell ref="A45:B45"/>
    <mergeCell ref="P8:Q8"/>
    <mergeCell ref="R8:S8"/>
    <mergeCell ref="T8:U8"/>
    <mergeCell ref="A9:C9"/>
    <mergeCell ref="D9:E9"/>
    <mergeCell ref="F9:G9"/>
    <mergeCell ref="H9:I9"/>
    <mergeCell ref="J9:K9"/>
    <mergeCell ref="L9:M9"/>
    <mergeCell ref="N9:O9"/>
  </mergeCells>
  <printOptions horizontalCentered="1"/>
  <pageMargins left="0.47244094488188998" right="0.39370078740157499" top="0.196850393700787" bottom="0.39370078740157499" header="0.511811023622047" footer="0.39370078740157499"/>
  <pageSetup paperSize="13" orientation="portrait" horizontalDpi="180" verticalDpi="180" r:id="rId1"/>
  <headerFooter scaleWithDoc="0">
    <oddFooter>&amp;C&amp;G&amp;"Arial,Regular"&amp;9 152</oddFooter>
  </headerFooter>
  <colBreaks count="1" manualBreakCount="1">
    <brk id="21" max="1048575" man="1"/>
  </col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U56"/>
  <sheetViews>
    <sheetView tabSelected="1" view="pageBreakPreview" zoomScaleSheetLayoutView="100" workbookViewId="0">
      <selection activeCell="M18" sqref="M18"/>
    </sheetView>
  </sheetViews>
  <sheetFormatPr defaultRowHeight="15.75"/>
  <cols>
    <col min="1" max="1" width="4.625" style="14" customWidth="1"/>
    <col min="2" max="2" width="12.125" style="14" bestFit="1" customWidth="1"/>
    <col min="3" max="3" width="3.875" style="14" bestFit="1" customWidth="1"/>
    <col min="4" max="4" width="10.25" style="14" customWidth="1"/>
    <col min="5" max="5" width="6.75" style="14" customWidth="1"/>
    <col min="6" max="6" width="11.125" style="14" customWidth="1"/>
    <col min="7" max="7" width="5.125" style="14" customWidth="1"/>
    <col min="8" max="8" width="8.375" style="14" customWidth="1"/>
    <col min="9" max="9" width="6.25" style="14" customWidth="1"/>
    <col min="10" max="16384" width="9" style="14"/>
  </cols>
  <sheetData>
    <row r="1" spans="1:9" s="5" customFormat="1" ht="11.25">
      <c r="A1" s="3" t="s">
        <v>0</v>
      </c>
      <c r="B1" s="4" t="s">
        <v>153</v>
      </c>
      <c r="C1" s="81" t="s">
        <v>102</v>
      </c>
      <c r="D1" s="81"/>
      <c r="E1" s="81"/>
      <c r="F1" s="81"/>
      <c r="G1" s="81"/>
      <c r="H1" s="81"/>
      <c r="I1" s="81"/>
    </row>
    <row r="2" spans="1:9" s="5" customFormat="1" ht="11.25">
      <c r="A2" s="6" t="s">
        <v>1</v>
      </c>
      <c r="B2" s="7"/>
      <c r="C2" s="81" t="s">
        <v>154</v>
      </c>
      <c r="D2" s="81"/>
      <c r="E2" s="81"/>
      <c r="F2" s="81"/>
      <c r="G2" s="81"/>
      <c r="H2" s="81"/>
      <c r="I2" s="81"/>
    </row>
    <row r="3" spans="1:9" s="5" customFormat="1" ht="11.25">
      <c r="A3" s="7"/>
      <c r="B3" s="7"/>
      <c r="C3" s="82" t="s">
        <v>155</v>
      </c>
      <c r="D3" s="82"/>
      <c r="E3" s="82"/>
      <c r="F3" s="82"/>
      <c r="G3" s="82"/>
      <c r="H3" s="82"/>
      <c r="I3" s="82"/>
    </row>
    <row r="4" spans="1:9" s="5" customFormat="1" ht="11.25">
      <c r="A4" s="7"/>
      <c r="B4" s="7"/>
      <c r="C4" s="82" t="s">
        <v>145</v>
      </c>
      <c r="D4" s="82"/>
      <c r="E4" s="82"/>
      <c r="F4" s="82"/>
      <c r="G4" s="82"/>
      <c r="H4" s="82"/>
      <c r="I4" s="82"/>
    </row>
    <row r="5" spans="1:9" s="5" customFormat="1" ht="12" thickBot="1">
      <c r="A5" s="8"/>
      <c r="B5" s="8"/>
      <c r="C5" s="8"/>
      <c r="D5" s="8"/>
      <c r="E5" s="8"/>
      <c r="F5" s="8"/>
      <c r="G5" s="8"/>
      <c r="H5" s="8"/>
      <c r="I5" s="8"/>
    </row>
    <row r="6" spans="1:9" s="5" customFormat="1" ht="11.25">
      <c r="A6" s="69"/>
      <c r="B6" s="69"/>
      <c r="C6" s="69"/>
      <c r="D6" s="87" t="s">
        <v>156</v>
      </c>
      <c r="E6" s="87"/>
      <c r="F6" s="87"/>
      <c r="G6" s="87"/>
      <c r="H6" s="71" t="s">
        <v>84</v>
      </c>
      <c r="I6" s="71"/>
    </row>
    <row r="7" spans="1:9" s="5" customFormat="1" ht="11.25">
      <c r="A7" s="78" t="s">
        <v>81</v>
      </c>
      <c r="B7" s="78"/>
      <c r="C7" s="78"/>
      <c r="D7" s="76" t="s">
        <v>157</v>
      </c>
      <c r="E7" s="76"/>
      <c r="F7" s="76"/>
      <c r="G7" s="76"/>
      <c r="H7" s="78" t="s">
        <v>79</v>
      </c>
      <c r="I7" s="78"/>
    </row>
    <row r="8" spans="1:9" s="5" customFormat="1" ht="11.25">
      <c r="A8" s="74" t="s">
        <v>72</v>
      </c>
      <c r="B8" s="74"/>
      <c r="C8" s="74"/>
      <c r="D8" s="78" t="s">
        <v>158</v>
      </c>
      <c r="E8" s="78"/>
      <c r="F8" s="86" t="s">
        <v>159</v>
      </c>
      <c r="G8" s="86"/>
      <c r="H8" s="74" t="s">
        <v>80</v>
      </c>
      <c r="I8" s="74"/>
    </row>
    <row r="9" spans="1:9" s="5" customFormat="1" ht="11.25">
      <c r="A9" s="69"/>
      <c r="B9" s="69"/>
      <c r="C9" s="69"/>
      <c r="D9" s="76" t="s">
        <v>160</v>
      </c>
      <c r="E9" s="76"/>
      <c r="F9" s="76" t="s">
        <v>161</v>
      </c>
      <c r="G9" s="76"/>
      <c r="H9" s="72" t="s">
        <v>84</v>
      </c>
      <c r="I9" s="72"/>
    </row>
    <row r="10" spans="1:9" s="5" customFormat="1" ht="12" thickBot="1">
      <c r="A10" s="77" t="s">
        <v>73</v>
      </c>
      <c r="B10" s="77"/>
      <c r="C10" s="77"/>
      <c r="D10" s="77" t="s">
        <v>74</v>
      </c>
      <c r="E10" s="77"/>
      <c r="F10" s="77" t="s">
        <v>75</v>
      </c>
      <c r="G10" s="77"/>
      <c r="H10" s="77" t="s">
        <v>76</v>
      </c>
      <c r="I10" s="77"/>
    </row>
    <row r="11" spans="1:9" s="5" customFormat="1" ht="12" customHeight="1">
      <c r="A11" s="10" t="s">
        <v>2</v>
      </c>
      <c r="B11" s="7" t="s">
        <v>3</v>
      </c>
      <c r="C11" s="7"/>
      <c r="D11" s="16">
        <v>1008</v>
      </c>
      <c r="E11" s="16"/>
      <c r="F11" s="16">
        <v>106</v>
      </c>
      <c r="G11" s="16"/>
      <c r="H11" s="16">
        <f>+D11+F11</f>
        <v>1114</v>
      </c>
      <c r="I11" s="23"/>
    </row>
    <row r="12" spans="1:9" s="5" customFormat="1" ht="12" customHeight="1">
      <c r="A12" s="10" t="s">
        <v>4</v>
      </c>
      <c r="B12" s="7" t="s">
        <v>5</v>
      </c>
      <c r="C12" s="7"/>
      <c r="D12" s="16">
        <v>1070</v>
      </c>
      <c r="E12" s="16"/>
      <c r="F12" s="16">
        <v>119</v>
      </c>
      <c r="G12" s="16"/>
      <c r="H12" s="16">
        <f t="shared" ref="H12:H45" si="0">+D12+F12</f>
        <v>1189</v>
      </c>
      <c r="I12" s="23"/>
    </row>
    <row r="13" spans="1:9" s="5" customFormat="1" ht="12" customHeight="1">
      <c r="A13" s="10" t="s">
        <v>6</v>
      </c>
      <c r="B13" s="7" t="s">
        <v>7</v>
      </c>
      <c r="C13" s="7"/>
      <c r="D13" s="16">
        <v>805</v>
      </c>
      <c r="E13" s="16"/>
      <c r="F13" s="16">
        <v>35</v>
      </c>
      <c r="G13" s="16"/>
      <c r="H13" s="16">
        <f t="shared" si="0"/>
        <v>840</v>
      </c>
      <c r="I13" s="23"/>
    </row>
    <row r="14" spans="1:9" s="5" customFormat="1" ht="12" customHeight="1">
      <c r="A14" s="10" t="s">
        <v>8</v>
      </c>
      <c r="B14" s="7" t="s">
        <v>9</v>
      </c>
      <c r="C14" s="7"/>
      <c r="D14" s="16">
        <v>718</v>
      </c>
      <c r="E14" s="16"/>
      <c r="F14" s="16">
        <v>38</v>
      </c>
      <c r="G14" s="16"/>
      <c r="H14" s="16">
        <f t="shared" si="0"/>
        <v>756</v>
      </c>
      <c r="I14" s="23"/>
    </row>
    <row r="15" spans="1:9" s="5" customFormat="1" ht="12" customHeight="1">
      <c r="A15" s="10" t="s">
        <v>10</v>
      </c>
      <c r="B15" s="7" t="s">
        <v>11</v>
      </c>
      <c r="C15" s="7"/>
      <c r="D15" s="16">
        <v>1061</v>
      </c>
      <c r="E15" s="16"/>
      <c r="F15" s="16">
        <v>104</v>
      </c>
      <c r="G15" s="16"/>
      <c r="H15" s="16">
        <f t="shared" si="0"/>
        <v>1165</v>
      </c>
      <c r="I15" s="23"/>
    </row>
    <row r="16" spans="1:9" s="5" customFormat="1" ht="12" customHeight="1">
      <c r="A16" s="10" t="s">
        <v>12</v>
      </c>
      <c r="B16" s="7" t="s">
        <v>13</v>
      </c>
      <c r="C16" s="7"/>
      <c r="D16" s="16">
        <v>655</v>
      </c>
      <c r="E16" s="16"/>
      <c r="F16" s="16">
        <v>27</v>
      </c>
      <c r="G16" s="16"/>
      <c r="H16" s="16">
        <f t="shared" si="0"/>
        <v>682</v>
      </c>
      <c r="I16" s="23"/>
    </row>
    <row r="17" spans="1:9" s="5" customFormat="1" ht="12" customHeight="1">
      <c r="A17" s="10" t="s">
        <v>14</v>
      </c>
      <c r="B17" s="7" t="s">
        <v>15</v>
      </c>
      <c r="C17" s="7"/>
      <c r="D17" s="16">
        <v>711</v>
      </c>
      <c r="E17" s="16"/>
      <c r="F17" s="16">
        <v>38</v>
      </c>
      <c r="G17" s="16"/>
      <c r="H17" s="16">
        <f t="shared" si="0"/>
        <v>749</v>
      </c>
      <c r="I17" s="23"/>
    </row>
    <row r="18" spans="1:9" s="5" customFormat="1" ht="12" customHeight="1">
      <c r="A18" s="10" t="s">
        <v>16</v>
      </c>
      <c r="B18" s="7" t="s">
        <v>17</v>
      </c>
      <c r="C18" s="7"/>
      <c r="D18" s="16">
        <v>1059</v>
      </c>
      <c r="E18" s="16"/>
      <c r="F18" s="16">
        <v>50</v>
      </c>
      <c r="G18" s="16"/>
      <c r="H18" s="16">
        <f t="shared" si="0"/>
        <v>1109</v>
      </c>
      <c r="I18" s="23"/>
    </row>
    <row r="19" spans="1:9" s="5" customFormat="1" ht="12" customHeight="1">
      <c r="A19" s="10" t="s">
        <v>18</v>
      </c>
      <c r="B19" s="7" t="s">
        <v>19</v>
      </c>
      <c r="C19" s="7"/>
      <c r="D19" s="16">
        <v>700</v>
      </c>
      <c r="E19" s="16"/>
      <c r="F19" s="16">
        <v>46</v>
      </c>
      <c r="G19" s="16"/>
      <c r="H19" s="16">
        <f t="shared" si="0"/>
        <v>746</v>
      </c>
      <c r="I19" s="23"/>
    </row>
    <row r="20" spans="1:9" s="5" customFormat="1" ht="12" customHeight="1">
      <c r="A20" s="10" t="s">
        <v>20</v>
      </c>
      <c r="B20" s="7" t="s">
        <v>21</v>
      </c>
      <c r="C20" s="7"/>
      <c r="D20" s="16">
        <v>1080</v>
      </c>
      <c r="E20" s="16"/>
      <c r="F20" s="16">
        <v>70</v>
      </c>
      <c r="G20" s="16"/>
      <c r="H20" s="16">
        <f t="shared" si="0"/>
        <v>1150</v>
      </c>
      <c r="I20" s="23"/>
    </row>
    <row r="21" spans="1:9" s="5" customFormat="1" ht="12" customHeight="1">
      <c r="A21" s="10" t="s">
        <v>22</v>
      </c>
      <c r="B21" s="7" t="s">
        <v>23</v>
      </c>
      <c r="C21" s="7"/>
      <c r="D21" s="16">
        <v>725</v>
      </c>
      <c r="E21" s="16"/>
      <c r="F21" s="16">
        <v>75</v>
      </c>
      <c r="G21" s="16"/>
      <c r="H21" s="16">
        <f t="shared" si="0"/>
        <v>800</v>
      </c>
      <c r="I21" s="23"/>
    </row>
    <row r="22" spans="1:9" s="5" customFormat="1" ht="12" customHeight="1">
      <c r="A22" s="10" t="s">
        <v>24</v>
      </c>
      <c r="B22" s="7" t="s">
        <v>25</v>
      </c>
      <c r="C22" s="7"/>
      <c r="D22" s="16">
        <v>393</v>
      </c>
      <c r="E22" s="16"/>
      <c r="F22" s="16">
        <v>19</v>
      </c>
      <c r="G22" s="16"/>
      <c r="H22" s="16">
        <f t="shared" si="0"/>
        <v>412</v>
      </c>
      <c r="I22" s="23"/>
    </row>
    <row r="23" spans="1:9" s="5" customFormat="1" ht="12" customHeight="1">
      <c r="A23" s="10" t="s">
        <v>26</v>
      </c>
      <c r="B23" s="7" t="s">
        <v>27</v>
      </c>
      <c r="C23" s="7"/>
      <c r="D23" s="16">
        <v>573</v>
      </c>
      <c r="E23" s="16"/>
      <c r="F23" s="16">
        <v>52</v>
      </c>
      <c r="G23" s="16"/>
      <c r="H23" s="16">
        <f t="shared" si="0"/>
        <v>625</v>
      </c>
      <c r="I23" s="23"/>
    </row>
    <row r="24" spans="1:9" s="5" customFormat="1" ht="12" customHeight="1">
      <c r="A24" s="10" t="s">
        <v>28</v>
      </c>
      <c r="B24" s="7" t="s">
        <v>29</v>
      </c>
      <c r="C24" s="7"/>
      <c r="D24" s="16">
        <v>1122</v>
      </c>
      <c r="E24" s="16"/>
      <c r="F24" s="16">
        <v>36</v>
      </c>
      <c r="G24" s="16"/>
      <c r="H24" s="16">
        <f t="shared" si="0"/>
        <v>1158</v>
      </c>
      <c r="I24" s="23"/>
    </row>
    <row r="25" spans="1:9" s="5" customFormat="1" ht="12" customHeight="1">
      <c r="A25" s="10" t="s">
        <v>30</v>
      </c>
      <c r="B25" s="7" t="s">
        <v>31</v>
      </c>
      <c r="C25" s="7"/>
      <c r="D25" s="16">
        <v>967</v>
      </c>
      <c r="E25" s="16"/>
      <c r="F25" s="16">
        <v>17</v>
      </c>
      <c r="G25" s="16"/>
      <c r="H25" s="16">
        <f t="shared" si="0"/>
        <v>984</v>
      </c>
      <c r="I25" s="23"/>
    </row>
    <row r="26" spans="1:9" s="5" customFormat="1" ht="12" customHeight="1">
      <c r="A26" s="10" t="s">
        <v>32</v>
      </c>
      <c r="B26" s="7" t="s">
        <v>33</v>
      </c>
      <c r="C26" s="7"/>
      <c r="D26" s="16">
        <v>680</v>
      </c>
      <c r="E26" s="16"/>
      <c r="F26" s="16">
        <v>25</v>
      </c>
      <c r="G26" s="16"/>
      <c r="H26" s="16">
        <f t="shared" si="0"/>
        <v>705</v>
      </c>
      <c r="I26" s="23"/>
    </row>
    <row r="27" spans="1:9" s="5" customFormat="1" ht="12" customHeight="1">
      <c r="A27" s="10" t="s">
        <v>34</v>
      </c>
      <c r="B27" s="7" t="s">
        <v>35</v>
      </c>
      <c r="C27" s="7"/>
      <c r="D27" s="16">
        <v>797</v>
      </c>
      <c r="E27" s="16"/>
      <c r="F27" s="16">
        <v>14</v>
      </c>
      <c r="G27" s="16"/>
      <c r="H27" s="16">
        <f t="shared" si="0"/>
        <v>811</v>
      </c>
      <c r="I27" s="23"/>
    </row>
    <row r="28" spans="1:9" s="5" customFormat="1" ht="12" customHeight="1">
      <c r="A28" s="10" t="s">
        <v>36</v>
      </c>
      <c r="B28" s="7" t="s">
        <v>37</v>
      </c>
      <c r="C28" s="7"/>
      <c r="D28" s="16">
        <v>1681</v>
      </c>
      <c r="E28" s="16"/>
      <c r="F28" s="16">
        <v>75</v>
      </c>
      <c r="G28" s="16"/>
      <c r="H28" s="16">
        <f t="shared" si="0"/>
        <v>1756</v>
      </c>
      <c r="I28" s="23"/>
    </row>
    <row r="29" spans="1:9" s="5" customFormat="1" ht="12" customHeight="1">
      <c r="A29" s="10" t="s">
        <v>38</v>
      </c>
      <c r="B29" s="7" t="s">
        <v>39</v>
      </c>
      <c r="C29" s="7"/>
      <c r="D29" s="16">
        <v>1190</v>
      </c>
      <c r="E29" s="16"/>
      <c r="F29" s="16">
        <v>128</v>
      </c>
      <c r="G29" s="16"/>
      <c r="H29" s="16">
        <f t="shared" si="0"/>
        <v>1318</v>
      </c>
      <c r="I29" s="23"/>
    </row>
    <row r="30" spans="1:9" s="5" customFormat="1" ht="12" customHeight="1">
      <c r="A30" s="10" t="s">
        <v>40</v>
      </c>
      <c r="B30" s="7" t="s">
        <v>41</v>
      </c>
      <c r="C30" s="7"/>
      <c r="D30" s="16">
        <v>1120</v>
      </c>
      <c r="E30" s="16"/>
      <c r="F30" s="16">
        <v>23</v>
      </c>
      <c r="G30" s="16"/>
      <c r="H30" s="16">
        <f t="shared" si="0"/>
        <v>1143</v>
      </c>
      <c r="I30" s="23"/>
    </row>
    <row r="31" spans="1:9" s="5" customFormat="1" ht="12" customHeight="1">
      <c r="A31" s="10" t="s">
        <v>42</v>
      </c>
      <c r="B31" s="7" t="s">
        <v>43</v>
      </c>
      <c r="C31" s="7"/>
      <c r="D31" s="16">
        <v>1618</v>
      </c>
      <c r="E31" s="16"/>
      <c r="F31" s="16">
        <v>42</v>
      </c>
      <c r="G31" s="16"/>
      <c r="H31" s="16">
        <f t="shared" si="0"/>
        <v>1660</v>
      </c>
      <c r="I31" s="23"/>
    </row>
    <row r="32" spans="1:9" s="5" customFormat="1" ht="12" customHeight="1">
      <c r="A32" s="10" t="s">
        <v>44</v>
      </c>
      <c r="B32" s="7" t="s">
        <v>45</v>
      </c>
      <c r="C32" s="7"/>
      <c r="D32" s="16">
        <v>807</v>
      </c>
      <c r="E32" s="16"/>
      <c r="F32" s="16">
        <v>43</v>
      </c>
      <c r="G32" s="16"/>
      <c r="H32" s="16">
        <f t="shared" si="0"/>
        <v>850</v>
      </c>
      <c r="I32" s="23"/>
    </row>
    <row r="33" spans="1:10" s="5" customFormat="1" ht="12" customHeight="1">
      <c r="A33" s="10" t="s">
        <v>46</v>
      </c>
      <c r="B33" s="7" t="s">
        <v>47</v>
      </c>
      <c r="C33" s="7"/>
      <c r="D33" s="16">
        <v>571</v>
      </c>
      <c r="E33" s="16"/>
      <c r="F33" s="16">
        <v>42</v>
      </c>
      <c r="G33" s="16"/>
      <c r="H33" s="16">
        <f t="shared" si="0"/>
        <v>613</v>
      </c>
      <c r="I33" s="23"/>
    </row>
    <row r="34" spans="1:10" s="5" customFormat="1" ht="12" customHeight="1">
      <c r="A34" s="10" t="s">
        <v>48</v>
      </c>
      <c r="B34" s="7" t="s">
        <v>49</v>
      </c>
      <c r="C34" s="7"/>
      <c r="D34" s="16">
        <v>1101</v>
      </c>
      <c r="E34" s="16"/>
      <c r="F34" s="16">
        <v>36</v>
      </c>
      <c r="G34" s="16"/>
      <c r="H34" s="16">
        <f t="shared" si="0"/>
        <v>1137</v>
      </c>
      <c r="I34" s="23"/>
    </row>
    <row r="35" spans="1:10" s="5" customFormat="1" ht="12" customHeight="1">
      <c r="A35" s="10" t="s">
        <v>50</v>
      </c>
      <c r="B35" s="7" t="s">
        <v>51</v>
      </c>
      <c r="C35" s="7"/>
      <c r="D35" s="16">
        <v>646</v>
      </c>
      <c r="E35" s="16"/>
      <c r="F35" s="16">
        <v>36</v>
      </c>
      <c r="G35" s="16"/>
      <c r="H35" s="16">
        <f t="shared" si="0"/>
        <v>682</v>
      </c>
      <c r="I35" s="23"/>
    </row>
    <row r="36" spans="1:10" s="5" customFormat="1" ht="12" customHeight="1">
      <c r="A36" s="10" t="s">
        <v>52</v>
      </c>
      <c r="B36" s="7" t="s">
        <v>53</v>
      </c>
      <c r="C36" s="7"/>
      <c r="D36" s="16">
        <v>621</v>
      </c>
      <c r="E36" s="16"/>
      <c r="F36" s="16">
        <v>27</v>
      </c>
      <c r="G36" s="16"/>
      <c r="H36" s="16">
        <f t="shared" si="0"/>
        <v>648</v>
      </c>
      <c r="I36" s="23"/>
    </row>
    <row r="37" spans="1:10" s="5" customFormat="1" ht="12" customHeight="1">
      <c r="A37" s="10" t="s">
        <v>54</v>
      </c>
      <c r="B37" s="7" t="s">
        <v>55</v>
      </c>
      <c r="C37" s="7"/>
      <c r="D37" s="16">
        <v>595</v>
      </c>
      <c r="E37" s="16"/>
      <c r="F37" s="16">
        <v>47</v>
      </c>
      <c r="G37" s="16"/>
      <c r="H37" s="16">
        <f t="shared" si="0"/>
        <v>642</v>
      </c>
      <c r="I37" s="23"/>
    </row>
    <row r="38" spans="1:10" s="5" customFormat="1" ht="12" customHeight="1">
      <c r="A38" s="10" t="s">
        <v>56</v>
      </c>
      <c r="B38" s="7" t="s">
        <v>57</v>
      </c>
      <c r="C38" s="7"/>
      <c r="D38" s="16">
        <v>1190</v>
      </c>
      <c r="E38" s="16"/>
      <c r="F38" s="16">
        <v>39</v>
      </c>
      <c r="G38" s="16"/>
      <c r="H38" s="16">
        <f t="shared" si="0"/>
        <v>1229</v>
      </c>
      <c r="I38" s="23"/>
    </row>
    <row r="39" spans="1:10" s="5" customFormat="1" ht="12" customHeight="1">
      <c r="A39" s="10" t="s">
        <v>58</v>
      </c>
      <c r="B39" s="7" t="s">
        <v>59</v>
      </c>
      <c r="C39" s="7"/>
      <c r="D39" s="16">
        <v>1134</v>
      </c>
      <c r="E39" s="16"/>
      <c r="F39" s="16">
        <v>40</v>
      </c>
      <c r="G39" s="16"/>
      <c r="H39" s="16">
        <f t="shared" si="0"/>
        <v>1174</v>
      </c>
      <c r="I39" s="23"/>
    </row>
    <row r="40" spans="1:10" s="5" customFormat="1" ht="12" customHeight="1">
      <c r="A40" s="10" t="s">
        <v>60</v>
      </c>
      <c r="B40" s="7" t="s">
        <v>61</v>
      </c>
      <c r="C40" s="7"/>
      <c r="D40" s="16">
        <v>122</v>
      </c>
      <c r="E40" s="16"/>
      <c r="F40" s="16">
        <v>28</v>
      </c>
      <c r="G40" s="16"/>
      <c r="H40" s="16">
        <f t="shared" si="0"/>
        <v>150</v>
      </c>
      <c r="I40" s="23"/>
    </row>
    <row r="41" spans="1:10" s="5" customFormat="1" ht="12" customHeight="1">
      <c r="A41" s="10" t="s">
        <v>62</v>
      </c>
      <c r="B41" s="7" t="s">
        <v>63</v>
      </c>
      <c r="C41" s="7"/>
      <c r="D41" s="16">
        <v>579</v>
      </c>
      <c r="E41" s="16"/>
      <c r="F41" s="16">
        <v>117</v>
      </c>
      <c r="G41" s="16"/>
      <c r="H41" s="16">
        <f t="shared" si="0"/>
        <v>696</v>
      </c>
      <c r="I41" s="23"/>
    </row>
    <row r="42" spans="1:10" s="5" customFormat="1" ht="12" customHeight="1">
      <c r="A42" s="10" t="s">
        <v>64</v>
      </c>
      <c r="B42" s="7" t="s">
        <v>65</v>
      </c>
      <c r="C42" s="7"/>
      <c r="D42" s="16">
        <v>211</v>
      </c>
      <c r="E42" s="16"/>
      <c r="F42" s="16">
        <v>8</v>
      </c>
      <c r="G42" s="16"/>
      <c r="H42" s="16">
        <f t="shared" si="0"/>
        <v>219</v>
      </c>
      <c r="I42" s="23"/>
    </row>
    <row r="43" spans="1:10" s="5" customFormat="1" ht="12" customHeight="1">
      <c r="A43" s="10" t="s">
        <v>66</v>
      </c>
      <c r="B43" s="7" t="s">
        <v>67</v>
      </c>
      <c r="C43" s="7"/>
      <c r="D43" s="16">
        <v>2019</v>
      </c>
      <c r="E43" s="16"/>
      <c r="F43" s="16">
        <v>252</v>
      </c>
      <c r="G43" s="16"/>
      <c r="H43" s="16">
        <f t="shared" si="0"/>
        <v>2271</v>
      </c>
      <c r="I43" s="23"/>
    </row>
    <row r="44" spans="1:10" s="5" customFormat="1" ht="12" customHeight="1">
      <c r="A44" s="10" t="s">
        <v>68</v>
      </c>
      <c r="B44" s="7" t="s">
        <v>69</v>
      </c>
      <c r="C44" s="7"/>
      <c r="D44" s="16">
        <v>385</v>
      </c>
      <c r="E44" s="16"/>
      <c r="F44" s="16">
        <v>28</v>
      </c>
      <c r="G44" s="16"/>
      <c r="H44" s="16">
        <f t="shared" si="0"/>
        <v>413</v>
      </c>
      <c r="I44" s="23"/>
    </row>
    <row r="45" spans="1:10" s="5" customFormat="1" ht="12" customHeight="1" thickBot="1">
      <c r="A45" s="11" t="s">
        <v>70</v>
      </c>
      <c r="B45" s="8" t="s">
        <v>71</v>
      </c>
      <c r="C45" s="8"/>
      <c r="D45" s="15">
        <v>337</v>
      </c>
      <c r="E45" s="15"/>
      <c r="F45" s="15">
        <v>24</v>
      </c>
      <c r="G45" s="15"/>
      <c r="H45" s="15">
        <f t="shared" si="0"/>
        <v>361</v>
      </c>
      <c r="I45" s="24"/>
    </row>
    <row r="46" spans="1:10" s="5" customFormat="1" ht="11.25">
      <c r="A46" s="75" t="s">
        <v>89</v>
      </c>
      <c r="B46" s="75"/>
      <c r="C46" s="62">
        <v>2017</v>
      </c>
      <c r="D46" s="43">
        <f>SUM(D11:D45)</f>
        <v>30051</v>
      </c>
      <c r="E46" s="43"/>
      <c r="F46" s="43">
        <f>SUM(F11:F45)</f>
        <v>1906</v>
      </c>
      <c r="G46" s="43"/>
      <c r="H46" s="63">
        <f>SUM(H11:H45)</f>
        <v>31957</v>
      </c>
      <c r="I46" s="58"/>
      <c r="J46" s="41"/>
    </row>
    <row r="47" spans="1:10" s="5" customFormat="1" ht="11.25">
      <c r="A47" s="79"/>
      <c r="B47" s="79"/>
      <c r="C47" s="62">
        <v>2016</v>
      </c>
      <c r="D47" s="43">
        <v>11746</v>
      </c>
      <c r="E47" s="43"/>
      <c r="F47" s="43">
        <v>13329</v>
      </c>
      <c r="G47" s="43"/>
      <c r="H47" s="63">
        <v>25075</v>
      </c>
      <c r="I47" s="58"/>
      <c r="J47" s="41"/>
    </row>
    <row r="48" spans="1:10" s="5" customFormat="1" ht="11.25">
      <c r="A48" s="68"/>
      <c r="B48" s="68"/>
      <c r="C48" s="40">
        <v>2015</v>
      </c>
      <c r="D48" s="43">
        <v>11114</v>
      </c>
      <c r="E48" s="43"/>
      <c r="F48" s="43">
        <v>12459</v>
      </c>
      <c r="G48" s="43"/>
      <c r="H48" s="43">
        <v>23573</v>
      </c>
      <c r="I48" s="58"/>
      <c r="J48" s="41"/>
    </row>
    <row r="49" spans="1:21" s="5" customFormat="1" ht="11.25">
      <c r="A49" s="68"/>
      <c r="B49" s="68"/>
      <c r="C49" s="40">
        <v>2014</v>
      </c>
      <c r="D49" s="43">
        <v>11936</v>
      </c>
      <c r="E49" s="43"/>
      <c r="F49" s="43">
        <v>13270</v>
      </c>
      <c r="G49" s="43"/>
      <c r="H49" s="43">
        <v>25206</v>
      </c>
      <c r="I49" s="58"/>
      <c r="J49" s="41"/>
    </row>
    <row r="50" spans="1:21" s="5" customFormat="1" ht="11.25">
      <c r="A50" s="68"/>
      <c r="B50" s="68"/>
      <c r="C50" s="40">
        <v>2013</v>
      </c>
      <c r="D50" s="43">
        <v>14170</v>
      </c>
      <c r="E50" s="43"/>
      <c r="F50" s="43">
        <v>15489</v>
      </c>
      <c r="G50" s="43"/>
      <c r="H50" s="43">
        <v>29659</v>
      </c>
      <c r="I50" s="58"/>
      <c r="J50" s="41"/>
    </row>
    <row r="51" spans="1:21" s="5" customFormat="1" ht="11.25">
      <c r="A51" s="68"/>
      <c r="B51" s="68"/>
      <c r="C51" s="40">
        <v>2012</v>
      </c>
      <c r="D51" s="43">
        <v>14228</v>
      </c>
      <c r="E51" s="43"/>
      <c r="F51" s="43">
        <v>15441</v>
      </c>
      <c r="G51" s="43"/>
      <c r="H51" s="43">
        <v>29669</v>
      </c>
      <c r="I51" s="58"/>
      <c r="J51" s="41"/>
    </row>
    <row r="52" spans="1:21" s="5" customFormat="1" ht="11.25">
      <c r="A52" s="4" t="s">
        <v>136</v>
      </c>
      <c r="B52" s="7"/>
      <c r="C52" s="7"/>
      <c r="D52" s="7"/>
      <c r="E52" s="7"/>
      <c r="F52" s="7"/>
      <c r="G52" s="7"/>
      <c r="H52" s="7"/>
      <c r="I52" s="7"/>
    </row>
    <row r="53" spans="1:21" s="5" customFormat="1" ht="11.25">
      <c r="A53" s="13" t="s">
        <v>140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 ht="10.5" customHeight="1"/>
    <row r="55" spans="1:21" ht="10.5" customHeight="1"/>
    <row r="56" spans="1:21" ht="10.5" customHeight="1"/>
  </sheetData>
  <mergeCells count="20">
    <mergeCell ref="A10:C10"/>
    <mergeCell ref="D10:E10"/>
    <mergeCell ref="F10:G10"/>
    <mergeCell ref="H10:I10"/>
    <mergeCell ref="A46:B46"/>
    <mergeCell ref="A47:B47"/>
    <mergeCell ref="A8:C8"/>
    <mergeCell ref="D8:E8"/>
    <mergeCell ref="F8:G8"/>
    <mergeCell ref="H8:I8"/>
    <mergeCell ref="D9:E9"/>
    <mergeCell ref="F9:G9"/>
    <mergeCell ref="C1:I1"/>
    <mergeCell ref="C2:I2"/>
    <mergeCell ref="C3:I3"/>
    <mergeCell ref="C4:I4"/>
    <mergeCell ref="D6:G6"/>
    <mergeCell ref="A7:C7"/>
    <mergeCell ref="D7:G7"/>
    <mergeCell ref="H7:I7"/>
  </mergeCells>
  <printOptions horizontalCentered="1"/>
  <pageMargins left="0.47244094488188998" right="0.39370078740157499" top="0.196850393700787" bottom="0.39370078740157499" header="0.511811023622047" footer="0.39370078740157499"/>
  <pageSetup paperSize="13" orientation="portrait" horizontalDpi="180" verticalDpi="180" r:id="rId1"/>
  <headerFooter scaleWithDoc="0">
    <oddFooter>&amp;C&amp;G&amp;"Arial,Regular"&amp;9 150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Tabel 4.3.3</vt:lpstr>
      <vt:lpstr>Tabel 4.3.4</vt:lpstr>
      <vt:lpstr>Tabel 4.3.5</vt:lpstr>
      <vt:lpstr>Tabel 4.3.6</vt:lpstr>
      <vt:lpstr>Tabel 4.3.7</vt:lpstr>
      <vt:lpstr>4.3.8</vt:lpstr>
      <vt:lpstr>'4.3.8'!Print_Area</vt:lpstr>
      <vt:lpstr>'Tabel 4.3.3'!Print_Area</vt:lpstr>
      <vt:lpstr>'Tabel 4.3.4'!Print_Area</vt:lpstr>
      <vt:lpstr>'Tabel 4.3.5'!Print_Area</vt:lpstr>
      <vt:lpstr>'Tabel 4.3.7'!Print_Area</vt:lpstr>
    </vt:vector>
  </TitlesOfParts>
  <Company>BPS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KABID CAWILIS</dc:creator>
  <cp:lastModifiedBy>hp</cp:lastModifiedBy>
  <cp:lastPrinted>2018-08-08T01:04:34Z</cp:lastPrinted>
  <dcterms:created xsi:type="dcterms:W3CDTF">2004-11-23T02:05:25Z</dcterms:created>
  <dcterms:modified xsi:type="dcterms:W3CDTF">2018-08-08T02:01:40Z</dcterms:modified>
</cp:coreProperties>
</file>