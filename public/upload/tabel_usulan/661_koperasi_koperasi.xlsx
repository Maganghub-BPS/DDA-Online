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9" i="1"/>
  <c r="F10"/>
  <c r="F11"/>
  <c r="F12"/>
  <c r="F13"/>
  <c r="F15"/>
  <c r="F17"/>
  <c r="F19"/>
  <c r="P10"/>
  <c r="P11"/>
  <c r="P12"/>
  <c r="P13"/>
  <c r="P15"/>
  <c r="P17"/>
  <c r="P19"/>
  <c r="P9"/>
  <c r="N10"/>
  <c r="N11"/>
  <c r="N12"/>
  <c r="N13"/>
  <c r="N15"/>
  <c r="N17"/>
  <c r="N19"/>
  <c r="N9"/>
  <c r="L10"/>
  <c r="L11"/>
  <c r="L12"/>
  <c r="L13"/>
  <c r="L15"/>
  <c r="L17"/>
  <c r="L19"/>
  <c r="L9"/>
  <c r="J10"/>
  <c r="J11"/>
  <c r="J12"/>
  <c r="J13"/>
  <c r="J15"/>
  <c r="J17"/>
  <c r="J19"/>
  <c r="J9"/>
  <c r="H10"/>
  <c r="H11"/>
  <c r="H12"/>
  <c r="H13"/>
  <c r="H15"/>
  <c r="H17"/>
  <c r="H19"/>
  <c r="H9"/>
</calcChain>
</file>

<file path=xl/sharedStrings.xml><?xml version="1.0" encoding="utf-8"?>
<sst xmlns="http://schemas.openxmlformats.org/spreadsheetml/2006/main" count="68" uniqueCount="33">
  <si>
    <t>DINAS KOPERASI, USAHA KECIL DAN MENENGAH PROVINSI JAWA TENGAH</t>
  </si>
  <si>
    <t>TIME SERIES DATA UMKM BINAAN PROVINSI JAWA TENGAH</t>
  </si>
  <si>
    <t>NO</t>
  </si>
  <si>
    <t>DESKRIPSI DATA</t>
  </si>
  <si>
    <t>SATUAN</t>
  </si>
  <si>
    <t>TAHUN</t>
  </si>
  <si>
    <t>JUMLAH UMKM</t>
  </si>
  <si>
    <t>unit</t>
  </si>
  <si>
    <t>Produksi/Non Pertanian</t>
  </si>
  <si>
    <t>Pertanian</t>
  </si>
  <si>
    <t>Perdagangan</t>
  </si>
  <si>
    <t>Jasa</t>
  </si>
  <si>
    <t>PENYERAPAN TENAGA KERJA</t>
  </si>
  <si>
    <t>orang</t>
  </si>
  <si>
    <t>Asset</t>
  </si>
  <si>
    <t>Rp. Milyar</t>
  </si>
  <si>
    <t>Omzet</t>
  </si>
  <si>
    <t>Sumber data :</t>
  </si>
  <si>
    <t>Dinas Koperasi UKM Provinsi Jawa Tengah</t>
  </si>
  <si>
    <t>POSISI PER : TRIWULAN IV 2017</t>
  </si>
  <si>
    <t>Jumlah Binaan 2013</t>
  </si>
  <si>
    <t>Jumlah Binaan 2014</t>
  </si>
  <si>
    <t>Jumlah Binaan 2015</t>
  </si>
  <si>
    <t>Jumlah Binaan 2016</t>
  </si>
  <si>
    <t>Jumlah Binaan 2017</t>
  </si>
  <si>
    <t>Jumlah Binaan 2012</t>
  </si>
  <si>
    <t>POSISI 2011 - 2017</t>
  </si>
  <si>
    <t>6=(4+5)</t>
  </si>
  <si>
    <t>8=(6+7)</t>
  </si>
  <si>
    <t>10=(8+9)</t>
  </si>
  <si>
    <t>12=(10+11)</t>
  </si>
  <si>
    <t>14=(12+13)</t>
  </si>
  <si>
    <t>16=(14+15)</t>
  </si>
</sst>
</file>

<file path=xl/styles.xml><?xml version="1.0" encoding="utf-8"?>
<styleSheet xmlns="http://schemas.openxmlformats.org/spreadsheetml/2006/main">
  <numFmts count="3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5" fontId="0" fillId="0" borderId="1" xfId="0" applyNumberForma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0" fillId="0" borderId="5" xfId="0" applyBorder="1"/>
    <xf numFmtId="165" fontId="0" fillId="0" borderId="5" xfId="1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0" fillId="0" borderId="6" xfId="0" applyBorder="1"/>
    <xf numFmtId="165" fontId="0" fillId="0" borderId="6" xfId="1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3">
    <cellStyle name="Comma" xfId="1" builtinId="3"/>
    <cellStyle name="Comma [0] 4" xfId="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Q23"/>
  <sheetViews>
    <sheetView topLeftCell="H1" zoomScale="85" zoomScaleNormal="85" workbookViewId="0">
      <selection activeCell="B2" sqref="B2:Q24"/>
    </sheetView>
  </sheetViews>
  <sheetFormatPr defaultRowHeight="15"/>
  <cols>
    <col min="2" max="2" width="3.85546875" bestFit="1" customWidth="1"/>
    <col min="3" max="3" width="29.5703125" customWidth="1"/>
    <col min="5" max="5" width="11.5703125" bestFit="1" customWidth="1"/>
    <col min="6" max="6" width="18.5703125" customWidth="1"/>
    <col min="7" max="7" width="11.5703125" bestFit="1" customWidth="1"/>
    <col min="8" max="8" width="18.42578125" bestFit="1" customWidth="1"/>
    <col min="9" max="9" width="11.5703125" bestFit="1" customWidth="1"/>
    <col min="10" max="10" width="18.42578125" bestFit="1" customWidth="1"/>
    <col min="11" max="11" width="11.5703125" bestFit="1" customWidth="1"/>
    <col min="12" max="12" width="18.42578125" bestFit="1" customWidth="1"/>
    <col min="13" max="13" width="11.5703125" bestFit="1" customWidth="1"/>
    <col min="14" max="14" width="18.42578125" bestFit="1" customWidth="1"/>
    <col min="15" max="15" width="11.5703125" bestFit="1" customWidth="1"/>
    <col min="16" max="16" width="18.42578125" bestFit="1" customWidth="1"/>
    <col min="17" max="17" width="11.5703125" bestFit="1" customWidth="1"/>
  </cols>
  <sheetData>
    <row r="2" spans="2:17">
      <c r="C2" t="s">
        <v>0</v>
      </c>
    </row>
    <row r="3" spans="2:17">
      <c r="C3" t="s">
        <v>1</v>
      </c>
    </row>
    <row r="4" spans="2:17">
      <c r="C4" t="s">
        <v>19</v>
      </c>
    </row>
    <row r="5" spans="2:17" ht="15.75" thickBot="1"/>
    <row r="6" spans="2:17" ht="15.75" thickBot="1">
      <c r="B6" s="5" t="s">
        <v>2</v>
      </c>
      <c r="C6" s="2" t="s">
        <v>3</v>
      </c>
      <c r="D6" s="4" t="s">
        <v>4</v>
      </c>
      <c r="E6" s="6" t="s">
        <v>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</row>
    <row r="7" spans="2:17" ht="15.75" thickBot="1">
      <c r="B7" s="1"/>
      <c r="C7" s="1"/>
      <c r="D7" s="1"/>
      <c r="E7" s="1">
        <v>2011</v>
      </c>
      <c r="F7" s="1" t="s">
        <v>25</v>
      </c>
      <c r="G7" s="1">
        <v>2012</v>
      </c>
      <c r="H7" s="1" t="s">
        <v>20</v>
      </c>
      <c r="I7" s="1">
        <v>2013</v>
      </c>
      <c r="J7" s="1" t="s">
        <v>21</v>
      </c>
      <c r="K7" s="1">
        <v>2014</v>
      </c>
      <c r="L7" s="1" t="s">
        <v>22</v>
      </c>
      <c r="M7" s="1">
        <v>2015</v>
      </c>
      <c r="N7" s="1" t="s">
        <v>23</v>
      </c>
      <c r="O7" s="1">
        <v>2016</v>
      </c>
      <c r="P7" s="1" t="s">
        <v>24</v>
      </c>
      <c r="Q7" s="1">
        <v>2017</v>
      </c>
    </row>
    <row r="8" spans="2:17" ht="15.75" thickBot="1">
      <c r="B8" s="9">
        <v>1</v>
      </c>
      <c r="C8" s="9">
        <v>2</v>
      </c>
      <c r="D8" s="9">
        <v>3</v>
      </c>
      <c r="E8" s="9">
        <v>4</v>
      </c>
      <c r="F8" s="9">
        <v>5</v>
      </c>
      <c r="G8" s="9">
        <v>6</v>
      </c>
      <c r="H8" s="9">
        <v>7</v>
      </c>
      <c r="I8" s="9">
        <v>8</v>
      </c>
      <c r="J8" s="9">
        <v>9</v>
      </c>
      <c r="K8" s="9">
        <v>10</v>
      </c>
      <c r="L8" s="9">
        <v>11</v>
      </c>
      <c r="M8" s="9">
        <v>12</v>
      </c>
      <c r="N8" s="9">
        <v>13</v>
      </c>
      <c r="O8" s="9">
        <v>14</v>
      </c>
      <c r="P8" s="9">
        <v>15</v>
      </c>
      <c r="Q8" s="9">
        <v>16</v>
      </c>
    </row>
    <row r="9" spans="2:17" ht="15.75" thickBot="1">
      <c r="B9" s="1">
        <v>1</v>
      </c>
      <c r="C9" s="4" t="s">
        <v>6</v>
      </c>
      <c r="D9" s="2" t="s">
        <v>7</v>
      </c>
      <c r="E9" s="3">
        <v>70222</v>
      </c>
      <c r="F9" s="10">
        <f>G9-E9</f>
        <v>10361</v>
      </c>
      <c r="G9" s="3">
        <v>80583</v>
      </c>
      <c r="H9" s="3">
        <f>I9-G9</f>
        <v>9756</v>
      </c>
      <c r="I9" s="3">
        <v>90339</v>
      </c>
      <c r="J9" s="3">
        <f>K9-I9</f>
        <v>9342</v>
      </c>
      <c r="K9" s="3">
        <v>99681</v>
      </c>
      <c r="L9" s="3">
        <f>M9-K9</f>
        <v>9256</v>
      </c>
      <c r="M9" s="3">
        <v>108937</v>
      </c>
      <c r="N9" s="3">
        <f>O9-M9</f>
        <v>6814</v>
      </c>
      <c r="O9" s="3">
        <v>115751</v>
      </c>
      <c r="P9" s="3">
        <f>Q9-O9</f>
        <v>17928</v>
      </c>
      <c r="Q9" s="3">
        <v>133679</v>
      </c>
    </row>
    <row r="10" spans="2:17" ht="15.75" thickBot="1">
      <c r="B10" s="1"/>
      <c r="C10" s="4" t="s">
        <v>8</v>
      </c>
      <c r="D10" s="2" t="s">
        <v>7</v>
      </c>
      <c r="E10" s="3">
        <v>23374</v>
      </c>
      <c r="F10" s="10">
        <f t="shared" ref="F10:F19" si="0">G10-E10</f>
        <v>2796.7796610169498</v>
      </c>
      <c r="G10" s="3">
        <v>26170.77966101695</v>
      </c>
      <c r="H10" s="3">
        <f t="shared" ref="H10:H19" si="1">I10-G10</f>
        <v>3932</v>
      </c>
      <c r="I10" s="3">
        <v>30102.77966101695</v>
      </c>
      <c r="J10" s="3">
        <f t="shared" ref="J10:J19" si="2">K10-I10</f>
        <v>4205.9999999999964</v>
      </c>
      <c r="K10" s="3">
        <v>34308.779661016946</v>
      </c>
      <c r="L10" s="3">
        <f t="shared" ref="L10:L19" si="3">M10-K10</f>
        <v>3775</v>
      </c>
      <c r="M10" s="3">
        <v>38083.779661016946</v>
      </c>
      <c r="N10" s="3">
        <f t="shared" ref="N10:N19" si="4">O10-M10</f>
        <v>1715</v>
      </c>
      <c r="O10" s="3">
        <v>39798.779661016946</v>
      </c>
      <c r="P10" s="3">
        <f t="shared" ref="P10:P19" si="5">Q10-O10</f>
        <v>6164</v>
      </c>
      <c r="Q10" s="3">
        <v>45962.779661016946</v>
      </c>
    </row>
    <row r="11" spans="2:17" ht="15.75" thickBot="1">
      <c r="B11" s="1"/>
      <c r="C11" s="4" t="s">
        <v>9</v>
      </c>
      <c r="D11" s="2" t="s">
        <v>7</v>
      </c>
      <c r="E11" s="3">
        <v>10097</v>
      </c>
      <c r="F11" s="10">
        <f t="shared" si="0"/>
        <v>3144.8135593220341</v>
      </c>
      <c r="G11" s="3">
        <v>13241.813559322034</v>
      </c>
      <c r="H11" s="3">
        <f t="shared" si="1"/>
        <v>2577</v>
      </c>
      <c r="I11" s="3">
        <v>15818.813559322034</v>
      </c>
      <c r="J11" s="3">
        <f t="shared" si="2"/>
        <v>1919.0000000000018</v>
      </c>
      <c r="K11" s="3">
        <v>17737.813559322036</v>
      </c>
      <c r="L11" s="3">
        <f t="shared" si="3"/>
        <v>1272</v>
      </c>
      <c r="M11" s="3">
        <v>19009.813559322036</v>
      </c>
      <c r="N11" s="3">
        <f t="shared" si="4"/>
        <v>325</v>
      </c>
      <c r="O11" s="3">
        <v>19334.813559322036</v>
      </c>
      <c r="P11" s="3">
        <f t="shared" si="5"/>
        <v>2994</v>
      </c>
      <c r="Q11" s="3">
        <v>22328.813559322036</v>
      </c>
    </row>
    <row r="12" spans="2:17" ht="15.75" thickBot="1">
      <c r="B12" s="1"/>
      <c r="C12" s="4" t="s">
        <v>10</v>
      </c>
      <c r="D12" s="2" t="s">
        <v>7</v>
      </c>
      <c r="E12" s="3">
        <v>28362</v>
      </c>
      <c r="F12" s="10">
        <f t="shared" si="0"/>
        <v>3692.9152542372867</v>
      </c>
      <c r="G12" s="3">
        <v>32054.915254237287</v>
      </c>
      <c r="H12" s="3">
        <f t="shared" si="1"/>
        <v>1903.0000000000036</v>
      </c>
      <c r="I12" s="3">
        <v>33957.91525423729</v>
      </c>
      <c r="J12" s="3">
        <f t="shared" si="2"/>
        <v>1871</v>
      </c>
      <c r="K12" s="3">
        <v>35828.91525423729</v>
      </c>
      <c r="L12" s="3">
        <f t="shared" si="3"/>
        <v>2414</v>
      </c>
      <c r="M12" s="3">
        <v>38242.91525423729</v>
      </c>
      <c r="N12" s="3">
        <f t="shared" si="4"/>
        <v>4356</v>
      </c>
      <c r="O12" s="3">
        <v>42598.91525423729</v>
      </c>
      <c r="P12" s="3">
        <f t="shared" si="5"/>
        <v>6599</v>
      </c>
      <c r="Q12" s="3">
        <v>49197.91525423729</v>
      </c>
    </row>
    <row r="13" spans="2:17" ht="15.75" thickBot="1">
      <c r="B13" s="1"/>
      <c r="C13" s="4" t="s">
        <v>11</v>
      </c>
      <c r="D13" s="2" t="s">
        <v>7</v>
      </c>
      <c r="E13" s="3">
        <v>8389</v>
      </c>
      <c r="F13" s="10">
        <f t="shared" si="0"/>
        <v>726.4915254237294</v>
      </c>
      <c r="G13" s="3">
        <v>9115.4915254237294</v>
      </c>
      <c r="H13" s="3">
        <f t="shared" si="1"/>
        <v>1344</v>
      </c>
      <c r="I13" s="3">
        <v>10459.491525423729</v>
      </c>
      <c r="J13" s="3">
        <f t="shared" si="2"/>
        <v>1346</v>
      </c>
      <c r="K13" s="3">
        <v>11805.491525423729</v>
      </c>
      <c r="L13" s="3">
        <f t="shared" si="3"/>
        <v>1795</v>
      </c>
      <c r="M13" s="3">
        <v>13600.491525423729</v>
      </c>
      <c r="N13" s="3">
        <f t="shared" si="4"/>
        <v>418</v>
      </c>
      <c r="O13" s="3">
        <v>14018.491525423729</v>
      </c>
      <c r="P13" s="3">
        <f t="shared" si="5"/>
        <v>2171</v>
      </c>
      <c r="Q13" s="3">
        <v>16189.491525423729</v>
      </c>
    </row>
    <row r="14" spans="2:17" ht="15.75" thickBot="1">
      <c r="B14" s="1"/>
      <c r="C14" s="4"/>
      <c r="D14" s="2"/>
      <c r="E14" s="3"/>
      <c r="F14" s="1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ht="15.75" thickBot="1">
      <c r="B15" s="1">
        <v>2</v>
      </c>
      <c r="C15" s="4" t="s">
        <v>12</v>
      </c>
      <c r="D15" s="2" t="s">
        <v>13</v>
      </c>
      <c r="E15" s="3">
        <v>293877</v>
      </c>
      <c r="F15" s="10">
        <f t="shared" si="0"/>
        <v>51745</v>
      </c>
      <c r="G15" s="3">
        <v>345622</v>
      </c>
      <c r="H15" s="3">
        <f t="shared" si="1"/>
        <v>134886</v>
      </c>
      <c r="I15" s="3">
        <v>480508</v>
      </c>
      <c r="J15" s="3">
        <f t="shared" si="2"/>
        <v>128385</v>
      </c>
      <c r="K15" s="3">
        <v>608893</v>
      </c>
      <c r="L15" s="3">
        <f t="shared" si="3"/>
        <v>131847</v>
      </c>
      <c r="M15" s="3">
        <v>740740</v>
      </c>
      <c r="N15" s="3">
        <f t="shared" si="4"/>
        <v>51027</v>
      </c>
      <c r="O15" s="3">
        <v>791767</v>
      </c>
      <c r="P15" s="3">
        <f t="shared" si="5"/>
        <v>126688</v>
      </c>
      <c r="Q15" s="3">
        <v>918455</v>
      </c>
    </row>
    <row r="16" spans="2:17" ht="15.75" thickBot="1">
      <c r="B16" s="1"/>
      <c r="C16" s="4"/>
      <c r="D16" s="2"/>
      <c r="E16" s="3"/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ht="15.75" thickBot="1">
      <c r="B17" s="1">
        <v>3</v>
      </c>
      <c r="C17" s="4" t="s">
        <v>14</v>
      </c>
      <c r="D17" s="2" t="s">
        <v>15</v>
      </c>
      <c r="E17" s="3">
        <v>5266</v>
      </c>
      <c r="F17" s="10">
        <f t="shared" si="0"/>
        <v>1549.5738000000001</v>
      </c>
      <c r="G17" s="3">
        <v>6815.5738000000001</v>
      </c>
      <c r="H17" s="3">
        <f t="shared" si="1"/>
        <v>2818.0758000000005</v>
      </c>
      <c r="I17" s="3">
        <v>9633.6496000000006</v>
      </c>
      <c r="J17" s="3">
        <f t="shared" si="2"/>
        <v>4312.9938567999998</v>
      </c>
      <c r="K17" s="3">
        <v>13946.6434568</v>
      </c>
      <c r="L17" s="3">
        <f t="shared" si="3"/>
        <v>5099.8517237724845</v>
      </c>
      <c r="M17" s="3">
        <v>19046.495180572485</v>
      </c>
      <c r="N17" s="3">
        <f t="shared" si="4"/>
        <v>3844.2105999999985</v>
      </c>
      <c r="O17" s="3">
        <v>22890.705780572483</v>
      </c>
      <c r="P17" s="3">
        <f t="shared" si="5"/>
        <v>3358</v>
      </c>
      <c r="Q17" s="3">
        <v>26248.705780572483</v>
      </c>
    </row>
    <row r="18" spans="2:17" ht="15.75" thickBot="1">
      <c r="B18" s="1"/>
      <c r="C18" s="4"/>
      <c r="D18" s="2"/>
      <c r="E18" s="3"/>
      <c r="F18" s="10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ht="15.75" thickBot="1">
      <c r="B19" s="1">
        <v>4</v>
      </c>
      <c r="C19" s="4" t="s">
        <v>16</v>
      </c>
      <c r="D19" s="2" t="s">
        <v>15</v>
      </c>
      <c r="E19" s="3">
        <v>14476</v>
      </c>
      <c r="F19" s="10">
        <f t="shared" si="0"/>
        <v>4495.8332000000009</v>
      </c>
      <c r="G19" s="3">
        <v>18971.833200000001</v>
      </c>
      <c r="H19" s="3">
        <f t="shared" si="1"/>
        <v>1372.9377999999997</v>
      </c>
      <c r="I19" s="3">
        <v>20344.771000000001</v>
      </c>
      <c r="J19" s="3">
        <f t="shared" si="2"/>
        <v>4242.6865895999981</v>
      </c>
      <c r="K19" s="3">
        <v>24587.457589599999</v>
      </c>
      <c r="L19" s="3">
        <f t="shared" si="3"/>
        <v>4525.4145077600006</v>
      </c>
      <c r="M19" s="3">
        <v>29112.872097359999</v>
      </c>
      <c r="N19" s="3">
        <f t="shared" si="4"/>
        <v>14456.769200000002</v>
      </c>
      <c r="O19" s="3">
        <v>43569.641297360002</v>
      </c>
      <c r="P19" s="3">
        <f t="shared" si="5"/>
        <v>5677</v>
      </c>
      <c r="Q19" s="3">
        <v>49246.641297360002</v>
      </c>
    </row>
    <row r="22" spans="2:17">
      <c r="C22" t="s">
        <v>17</v>
      </c>
    </row>
    <row r="23" spans="2:17">
      <c r="C23" t="s">
        <v>18</v>
      </c>
    </row>
  </sheetData>
  <mergeCells count="1">
    <mergeCell ref="E6:Q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Q24"/>
  <sheetViews>
    <sheetView tabSelected="1" zoomScale="70" zoomScaleNormal="70" workbookViewId="0">
      <selection activeCell="I26" sqref="I26"/>
    </sheetView>
  </sheetViews>
  <sheetFormatPr defaultRowHeight="15"/>
  <cols>
    <col min="2" max="2" width="3.85546875" bestFit="1" customWidth="1"/>
    <col min="3" max="3" width="34.28515625" customWidth="1"/>
    <col min="4" max="4" width="10.28515625" bestFit="1" customWidth="1"/>
    <col min="5" max="5" width="11.5703125" bestFit="1" customWidth="1"/>
    <col min="6" max="6" width="20.28515625" bestFit="1" customWidth="1"/>
    <col min="7" max="7" width="11.5703125" bestFit="1" customWidth="1"/>
    <col min="8" max="8" width="20.28515625" bestFit="1" customWidth="1"/>
    <col min="9" max="9" width="11.5703125" bestFit="1" customWidth="1"/>
    <col min="10" max="10" width="20.28515625" bestFit="1" customWidth="1"/>
    <col min="11" max="11" width="11.5703125" bestFit="1" customWidth="1"/>
    <col min="12" max="12" width="20.28515625" bestFit="1" customWidth="1"/>
    <col min="13" max="13" width="11.5703125" bestFit="1" customWidth="1"/>
    <col min="14" max="14" width="20.28515625" bestFit="1" customWidth="1"/>
    <col min="15" max="15" width="11.5703125" bestFit="1" customWidth="1"/>
    <col min="16" max="16" width="20.28515625" bestFit="1" customWidth="1"/>
    <col min="17" max="17" width="11.5703125" bestFit="1" customWidth="1"/>
  </cols>
  <sheetData>
    <row r="3" spans="2:17">
      <c r="C3" t="s">
        <v>0</v>
      </c>
    </row>
    <row r="4" spans="2:17">
      <c r="C4" t="s">
        <v>1</v>
      </c>
    </row>
    <row r="5" spans="2:17">
      <c r="C5" t="s">
        <v>26</v>
      </c>
    </row>
    <row r="6" spans="2:17" ht="15.75" thickBot="1"/>
    <row r="7" spans="2:17" ht="15.75" thickBot="1">
      <c r="B7" s="21" t="s">
        <v>2</v>
      </c>
      <c r="C7" s="21" t="s">
        <v>3</v>
      </c>
      <c r="D7" s="21" t="s">
        <v>4</v>
      </c>
      <c r="E7" s="22" t="s">
        <v>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2:17" ht="15.75" thickBot="1">
      <c r="B8" s="21"/>
      <c r="C8" s="21"/>
      <c r="D8" s="21"/>
      <c r="E8" s="1">
        <v>2011</v>
      </c>
      <c r="F8" s="1" t="s">
        <v>25</v>
      </c>
      <c r="G8" s="1">
        <v>2012</v>
      </c>
      <c r="H8" s="1" t="s">
        <v>20</v>
      </c>
      <c r="I8" s="1">
        <v>2013</v>
      </c>
      <c r="J8" s="1" t="s">
        <v>21</v>
      </c>
      <c r="K8" s="1">
        <v>2014</v>
      </c>
      <c r="L8" s="1" t="s">
        <v>22</v>
      </c>
      <c r="M8" s="1">
        <v>2015</v>
      </c>
      <c r="N8" s="1" t="s">
        <v>23</v>
      </c>
      <c r="O8" s="1">
        <v>2016</v>
      </c>
      <c r="P8" s="1" t="s">
        <v>24</v>
      </c>
      <c r="Q8" s="1">
        <v>2017</v>
      </c>
    </row>
    <row r="9" spans="2:17">
      <c r="B9" s="19">
        <v>1</v>
      </c>
      <c r="C9" s="19">
        <v>2</v>
      </c>
      <c r="D9" s="20">
        <v>3</v>
      </c>
      <c r="E9" s="20">
        <v>4</v>
      </c>
      <c r="F9" s="20">
        <v>5</v>
      </c>
      <c r="G9" s="20" t="s">
        <v>27</v>
      </c>
      <c r="H9" s="20">
        <v>7</v>
      </c>
      <c r="I9" s="20" t="s">
        <v>28</v>
      </c>
      <c r="J9" s="20">
        <v>9</v>
      </c>
      <c r="K9" s="20" t="s">
        <v>29</v>
      </c>
      <c r="L9" s="20">
        <v>11</v>
      </c>
      <c r="M9" s="20" t="s">
        <v>30</v>
      </c>
      <c r="N9" s="20">
        <v>13</v>
      </c>
      <c r="O9" s="20" t="s">
        <v>31</v>
      </c>
      <c r="P9" s="20">
        <v>15</v>
      </c>
      <c r="Q9" s="20" t="s">
        <v>32</v>
      </c>
    </row>
    <row r="10" spans="2:17">
      <c r="B10" s="11">
        <v>1</v>
      </c>
      <c r="C10" s="12" t="s">
        <v>6</v>
      </c>
      <c r="D10" s="13" t="s">
        <v>7</v>
      </c>
      <c r="E10" s="14">
        <v>70222</v>
      </c>
      <c r="F10" s="14">
        <v>10361</v>
      </c>
      <c r="G10" s="14">
        <v>80583</v>
      </c>
      <c r="H10" s="14">
        <v>9756</v>
      </c>
      <c r="I10" s="14">
        <v>90339</v>
      </c>
      <c r="J10" s="14">
        <v>9342</v>
      </c>
      <c r="K10" s="14">
        <v>99681</v>
      </c>
      <c r="L10" s="14">
        <v>9256</v>
      </c>
      <c r="M10" s="14">
        <v>108937</v>
      </c>
      <c r="N10" s="14">
        <v>6814</v>
      </c>
      <c r="O10" s="14">
        <v>115751</v>
      </c>
      <c r="P10" s="14">
        <v>17928</v>
      </c>
      <c r="Q10" s="14">
        <v>133679</v>
      </c>
    </row>
    <row r="11" spans="2:17">
      <c r="B11" s="11"/>
      <c r="C11" s="12" t="s">
        <v>8</v>
      </c>
      <c r="D11" s="13" t="s">
        <v>7</v>
      </c>
      <c r="E11" s="14">
        <v>23374</v>
      </c>
      <c r="F11" s="14">
        <v>2796.7796610169498</v>
      </c>
      <c r="G11" s="14">
        <v>26170.77966101695</v>
      </c>
      <c r="H11" s="14">
        <v>3932</v>
      </c>
      <c r="I11" s="14">
        <v>30102.77966101695</v>
      </c>
      <c r="J11" s="14">
        <v>4205.9999999999964</v>
      </c>
      <c r="K11" s="14">
        <v>34308.779661016946</v>
      </c>
      <c r="L11" s="14">
        <v>3775</v>
      </c>
      <c r="M11" s="14">
        <v>38083.779661016946</v>
      </c>
      <c r="N11" s="14">
        <v>1715</v>
      </c>
      <c r="O11" s="14">
        <v>39798.779661016946</v>
      </c>
      <c r="P11" s="14">
        <v>6164</v>
      </c>
      <c r="Q11" s="14">
        <v>45962.779661016946</v>
      </c>
    </row>
    <row r="12" spans="2:17">
      <c r="B12" s="11"/>
      <c r="C12" s="12" t="s">
        <v>9</v>
      </c>
      <c r="D12" s="13" t="s">
        <v>7</v>
      </c>
      <c r="E12" s="14">
        <v>10097</v>
      </c>
      <c r="F12" s="14">
        <v>3144.8135593220341</v>
      </c>
      <c r="G12" s="14">
        <v>13241.813559322034</v>
      </c>
      <c r="H12" s="14">
        <v>2577</v>
      </c>
      <c r="I12" s="14">
        <v>15818.813559322034</v>
      </c>
      <c r="J12" s="14">
        <v>1919.0000000000018</v>
      </c>
      <c r="K12" s="14">
        <v>17737.813559322036</v>
      </c>
      <c r="L12" s="14">
        <v>1272</v>
      </c>
      <c r="M12" s="14">
        <v>19009.813559322036</v>
      </c>
      <c r="N12" s="14">
        <v>325</v>
      </c>
      <c r="O12" s="14">
        <v>19334.813559322036</v>
      </c>
      <c r="P12" s="14">
        <v>2994</v>
      </c>
      <c r="Q12" s="14">
        <v>22328.813559322036</v>
      </c>
    </row>
    <row r="13" spans="2:17">
      <c r="B13" s="11"/>
      <c r="C13" s="12" t="s">
        <v>10</v>
      </c>
      <c r="D13" s="13" t="s">
        <v>7</v>
      </c>
      <c r="E13" s="14">
        <v>28362</v>
      </c>
      <c r="F13" s="14">
        <v>3692.9152542372867</v>
      </c>
      <c r="G13" s="14">
        <v>32054.915254237287</v>
      </c>
      <c r="H13" s="14">
        <v>1903.0000000000036</v>
      </c>
      <c r="I13" s="14">
        <v>33957.91525423729</v>
      </c>
      <c r="J13" s="14">
        <v>1871</v>
      </c>
      <c r="K13" s="14">
        <v>35828.91525423729</v>
      </c>
      <c r="L13" s="14">
        <v>2414</v>
      </c>
      <c r="M13" s="14">
        <v>38242.91525423729</v>
      </c>
      <c r="N13" s="14">
        <v>4356</v>
      </c>
      <c r="O13" s="14">
        <v>42598.91525423729</v>
      </c>
      <c r="P13" s="14">
        <v>6599</v>
      </c>
      <c r="Q13" s="14">
        <v>49197.91525423729</v>
      </c>
    </row>
    <row r="14" spans="2:17">
      <c r="B14" s="11"/>
      <c r="C14" s="12" t="s">
        <v>11</v>
      </c>
      <c r="D14" s="13" t="s">
        <v>7</v>
      </c>
      <c r="E14" s="14">
        <v>8389</v>
      </c>
      <c r="F14" s="14">
        <v>726.4915254237294</v>
      </c>
      <c r="G14" s="14">
        <v>9115.4915254237294</v>
      </c>
      <c r="H14" s="14">
        <v>1344</v>
      </c>
      <c r="I14" s="14">
        <v>10459.491525423729</v>
      </c>
      <c r="J14" s="14">
        <v>1346</v>
      </c>
      <c r="K14" s="14">
        <v>11805.491525423729</v>
      </c>
      <c r="L14" s="14">
        <v>1795</v>
      </c>
      <c r="M14" s="14">
        <v>13600.491525423729</v>
      </c>
      <c r="N14" s="14">
        <v>418</v>
      </c>
      <c r="O14" s="14">
        <v>14018.491525423729</v>
      </c>
      <c r="P14" s="14">
        <v>2171</v>
      </c>
      <c r="Q14" s="14">
        <v>16189.491525423729</v>
      </c>
    </row>
    <row r="15" spans="2:17">
      <c r="B15" s="11"/>
      <c r="C15" s="12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2:17">
      <c r="B16" s="11">
        <v>2</v>
      </c>
      <c r="C16" s="12" t="s">
        <v>12</v>
      </c>
      <c r="D16" s="13" t="s">
        <v>13</v>
      </c>
      <c r="E16" s="14">
        <v>293877</v>
      </c>
      <c r="F16" s="14">
        <v>51745</v>
      </c>
      <c r="G16" s="14">
        <v>345622</v>
      </c>
      <c r="H16" s="14">
        <v>134886</v>
      </c>
      <c r="I16" s="14">
        <v>480508</v>
      </c>
      <c r="J16" s="14">
        <v>128385</v>
      </c>
      <c r="K16" s="14">
        <v>608893</v>
      </c>
      <c r="L16" s="14">
        <v>131847</v>
      </c>
      <c r="M16" s="14">
        <v>740740</v>
      </c>
      <c r="N16" s="14">
        <v>51027</v>
      </c>
      <c r="O16" s="14">
        <v>791767</v>
      </c>
      <c r="P16" s="14">
        <v>126688</v>
      </c>
      <c r="Q16" s="14">
        <v>918455</v>
      </c>
    </row>
    <row r="17" spans="2:17">
      <c r="B17" s="11"/>
      <c r="C17" s="12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2:17">
      <c r="B18" s="11">
        <v>3</v>
      </c>
      <c r="C18" s="12" t="s">
        <v>14</v>
      </c>
      <c r="D18" s="13" t="s">
        <v>15</v>
      </c>
      <c r="E18" s="14">
        <v>5266</v>
      </c>
      <c r="F18" s="14">
        <v>1549.5738000000001</v>
      </c>
      <c r="G18" s="14">
        <v>6815.5738000000001</v>
      </c>
      <c r="H18" s="14">
        <v>2818.0758000000005</v>
      </c>
      <c r="I18" s="14">
        <v>9633.6496000000006</v>
      </c>
      <c r="J18" s="14">
        <v>4312.9938567999998</v>
      </c>
      <c r="K18" s="14">
        <v>13946.6434568</v>
      </c>
      <c r="L18" s="14">
        <v>5099.8517237724845</v>
      </c>
      <c r="M18" s="14">
        <v>19046.495180572485</v>
      </c>
      <c r="N18" s="14">
        <v>3844.2105999999985</v>
      </c>
      <c r="O18" s="14">
        <v>22890.705780572483</v>
      </c>
      <c r="P18" s="14">
        <v>3358</v>
      </c>
      <c r="Q18" s="14">
        <v>26248.705780572483</v>
      </c>
    </row>
    <row r="19" spans="2:17">
      <c r="B19" s="11"/>
      <c r="C19" s="12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2:17" ht="15.75" thickBot="1">
      <c r="B20" s="15">
        <v>4</v>
      </c>
      <c r="C20" s="16" t="s">
        <v>16</v>
      </c>
      <c r="D20" s="17" t="s">
        <v>15</v>
      </c>
      <c r="E20" s="18">
        <v>14476</v>
      </c>
      <c r="F20" s="18">
        <v>4495.8332000000009</v>
      </c>
      <c r="G20" s="18">
        <v>18971.833200000001</v>
      </c>
      <c r="H20" s="18">
        <v>1372.9377999999997</v>
      </c>
      <c r="I20" s="18">
        <v>20344.771000000001</v>
      </c>
      <c r="J20" s="18">
        <v>4242.6865895999981</v>
      </c>
      <c r="K20" s="18">
        <v>24587.457589599999</v>
      </c>
      <c r="L20" s="18">
        <v>4525.4145077600006</v>
      </c>
      <c r="M20" s="18">
        <v>29112.872097359999</v>
      </c>
      <c r="N20" s="18">
        <v>14456.769200000002</v>
      </c>
      <c r="O20" s="18">
        <v>43569.641297360002</v>
      </c>
      <c r="P20" s="18">
        <v>5677</v>
      </c>
      <c r="Q20" s="18">
        <v>49246.641297360002</v>
      </c>
    </row>
    <row r="23" spans="2:17">
      <c r="C23" t="s">
        <v>17</v>
      </c>
    </row>
    <row r="24" spans="2:17">
      <c r="C24" t="s">
        <v>18</v>
      </c>
    </row>
  </sheetData>
  <mergeCells count="4">
    <mergeCell ref="E7:Q7"/>
    <mergeCell ref="B7:B8"/>
    <mergeCell ref="C7:C8"/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DONY</dc:creator>
  <cp:lastModifiedBy>DONY</cp:lastModifiedBy>
  <dcterms:created xsi:type="dcterms:W3CDTF">2018-08-09T00:28:55Z</dcterms:created>
  <dcterms:modified xsi:type="dcterms:W3CDTF">2018-08-09T00:54:48Z</dcterms:modified>
</cp:coreProperties>
</file>