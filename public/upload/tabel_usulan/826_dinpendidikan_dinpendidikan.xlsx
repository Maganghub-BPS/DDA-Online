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4.1.3" sheetId="1" r:id="rId3"/>
    <sheet state="visible" name="2017 4.1.3" sheetId="2" r:id="rId4"/>
    <sheet state="visible" name="T4.1.5" sheetId="3" r:id="rId5"/>
    <sheet state="visible" name="2017 4.1.5" sheetId="4" r:id="rId6"/>
    <sheet state="visible" name="T4.1.7" sheetId="5" r:id="rId7"/>
    <sheet state="visible" name="2017 4.1.7" sheetId="6" r:id="rId8"/>
  </sheets>
  <definedNames/>
  <calcPr/>
</workbook>
</file>

<file path=xl/sharedStrings.xml><?xml version="1.0" encoding="utf-8"?>
<sst xmlns="http://schemas.openxmlformats.org/spreadsheetml/2006/main" count="619" uniqueCount="300">
  <si>
    <t>Tabel</t>
  </si>
  <si>
    <t>4.1.5</t>
  </si>
  <si>
    <t>4.1.3</t>
  </si>
  <si>
    <t>Jumlah Sekolah, Murid, Guru, dan Rasio Murid-Guru Sekolah Dasar (SD) Menurut Kabupaten/kota di Provinsi Jawa Tengah, 2016</t>
  </si>
  <si>
    <t>Table</t>
  </si>
  <si>
    <t>Number of Schools, Pupils, Teachers, and School-Teacher Ratio of Primary Schools by Regency/Municipality in Jawa Tengah Province, 2016</t>
  </si>
  <si>
    <t>Jumlah Sekolah, Murid, Guru, dan Rasio Murid-Guru Sekolah Dasar (SD) Menurut Kabupaten/kota di Provinsi Jawa Tengah, 2017</t>
  </si>
  <si>
    <t>Kabupaten/Kota Regency/Municipality</t>
  </si>
  <si>
    <t>Number of Schools, Pupils, Teachers, and School-Teacher Ratio of Primary Schools by Regency/City in Jawa Tengah Province, 2017</t>
  </si>
  <si>
    <t>Sekolah Schools</t>
  </si>
  <si>
    <t>Murid Pupils</t>
  </si>
  <si>
    <t>Guru Teachers</t>
  </si>
  <si>
    <t>Rasio Murid- Guru/Pupil- Teacher Ratio</t>
  </si>
  <si>
    <t>Jumlah Sekolah, Murid, Guru, dan Rasio Murid-Guru Sekolah Menengah Pertama Menurut Kabupaten/kota  di Provinsi Jawa Tengah, 2017</t>
  </si>
  <si>
    <r>
      <rPr/>
      <t xml:space="preserve">Kabupaten/Kota                                                 </t>
    </r>
    <r>
      <rPr>
        <rFont val="Calibri"/>
        <b/>
        <i/>
        <color rgb="FF000000"/>
      </rPr>
      <t>Regency/City</t>
    </r>
  </si>
  <si>
    <t>Number of Schools, Pupils, Teachers, and School-Teacher Ratio of Junior High Schools by Regency/City in Jawa Tengah Province, 2017</t>
  </si>
  <si>
    <r>
      <rPr/>
      <t xml:space="preserve">Kabupaten/Kota                                                 </t>
    </r>
    <r>
      <rPr>
        <rFont val="Calibri"/>
        <b/>
        <i/>
        <color rgb="FF000000"/>
      </rPr>
      <t>Regency/City</t>
    </r>
  </si>
  <si>
    <r>
      <rPr/>
      <t xml:space="preserve">Sekolah </t>
    </r>
    <r>
      <rPr>
        <rFont val="Calibri"/>
        <b/>
        <i/>
        <color rgb="FF000000"/>
      </rPr>
      <t>Schools</t>
    </r>
  </si>
  <si>
    <r>
      <rPr/>
      <t xml:space="preserve">Murid              </t>
    </r>
    <r>
      <rPr>
        <rFont val="Calibri"/>
        <b/>
        <i/>
        <color rgb="FF000000"/>
      </rPr>
      <t>Pupils</t>
    </r>
  </si>
  <si>
    <r>
      <rPr/>
      <t xml:space="preserve">Guru                </t>
    </r>
    <r>
      <rPr>
        <rFont val="Calibri"/>
        <b/>
        <i/>
        <color rgb="FF000000"/>
      </rPr>
      <t>Teachers</t>
    </r>
  </si>
  <si>
    <r>
      <t xml:space="preserve">Rasio Murid-Guru
</t>
    </r>
    <r>
      <rPr>
        <i/>
      </rPr>
      <t>Pupil-Teacher Ratio</t>
    </r>
  </si>
  <si>
    <r>
      <rPr/>
      <t xml:space="preserve">Sekolah </t>
    </r>
    <r>
      <rPr>
        <rFont val="Calibri"/>
        <b/>
        <i/>
        <color rgb="FF000000"/>
      </rPr>
      <t>Schools</t>
    </r>
  </si>
  <si>
    <r>
      <rPr/>
      <t xml:space="preserve">Murid              </t>
    </r>
    <r>
      <rPr>
        <rFont val="Calibri"/>
        <b/>
        <i/>
        <color rgb="FF000000"/>
      </rPr>
      <t>Pupils</t>
    </r>
  </si>
  <si>
    <r>
      <rPr/>
      <t xml:space="preserve">Guru                </t>
    </r>
    <r>
      <rPr>
        <rFont val="Calibri"/>
        <b/>
        <i/>
        <color rgb="FF000000"/>
      </rPr>
      <t>Teachers</t>
    </r>
  </si>
  <si>
    <r>
      <t xml:space="preserve">Rasio Murid-Guru
</t>
    </r>
    <r>
      <rPr>
        <i/>
      </rPr>
      <t>Pupil-Teacher Ratio</t>
    </r>
  </si>
  <si>
    <t>(1)</t>
  </si>
  <si>
    <t>Kabupaten/Regency</t>
  </si>
  <si>
    <t>(2)</t>
  </si>
  <si>
    <t>(3)</t>
  </si>
  <si>
    <t>(4)</t>
  </si>
  <si>
    <t>(5)</t>
  </si>
  <si>
    <r>
      <rPr/>
      <t>Kabupaten/</t>
    </r>
    <r>
      <rPr>
        <rFont val="Calibri"/>
        <b/>
        <i/>
        <color rgb="FF000000"/>
      </rPr>
      <t>Regency</t>
    </r>
  </si>
  <si>
    <t>Cilacap</t>
  </si>
  <si>
    <t>171 787</t>
  </si>
  <si>
    <t>9 804</t>
  </si>
  <si>
    <t>Banyumas</t>
  </si>
  <si>
    <t>146 193</t>
  </si>
  <si>
    <t>8 297</t>
  </si>
  <si>
    <t>Purbalingga</t>
  </si>
  <si>
    <t>77 811</t>
  </si>
  <si>
    <t>4 984</t>
  </si>
  <si>
    <t>Banjarnegara</t>
  </si>
  <si>
    <t>1.</t>
  </si>
  <si>
    <t>77 028</t>
  </si>
  <si>
    <t>5 027</t>
  </si>
  <si>
    <t>Kebumen</t>
  </si>
  <si>
    <t>125 388</t>
  </si>
  <si>
    <t>7 135</t>
  </si>
  <si>
    <t>Purworejo</t>
  </si>
  <si>
    <t>70 937</t>
  </si>
  <si>
    <t>5 128</t>
  </si>
  <si>
    <t>Wonosobo</t>
  </si>
  <si>
    <t>71 192</t>
  </si>
  <si>
    <t>4 938</t>
  </si>
  <si>
    <t>Magelang</t>
  </si>
  <si>
    <t>89 803</t>
  </si>
  <si>
    <t>6 341</t>
  </si>
  <si>
    <t>Boyolali</t>
  </si>
  <si>
    <t>76 569</t>
  </si>
  <si>
    <t>5 943</t>
  </si>
  <si>
    <t>Klaten</t>
  </si>
  <si>
    <t>101 713</t>
  </si>
  <si>
    <t>7 950</t>
  </si>
  <si>
    <t>Sukoharjo</t>
  </si>
  <si>
    <t>60 319</t>
  </si>
  <si>
    <t>5 348</t>
  </si>
  <si>
    <t>Wonogiri</t>
  </si>
  <si>
    <t>78 271</t>
  </si>
  <si>
    <t>7 495</t>
  </si>
  <si>
    <t>Karanganyar</t>
  </si>
  <si>
    <t>70 026</t>
  </si>
  <si>
    <t>5 145</t>
  </si>
  <si>
    <t>Sragen</t>
  </si>
  <si>
    <t>77 707</t>
  </si>
  <si>
    <r>
      <rPr/>
      <t>Kabupaten/</t>
    </r>
    <r>
      <rPr>
        <rFont val="Calibri"/>
        <b/>
        <i/>
        <color rgb="FF000000"/>
      </rPr>
      <t>Regency</t>
    </r>
  </si>
  <si>
    <t>6 009</t>
  </si>
  <si>
    <t>Grobogan</t>
  </si>
  <si>
    <t>137 550</t>
  </si>
  <si>
    <t>7 354</t>
  </si>
  <si>
    <t>Blora</t>
  </si>
  <si>
    <t>75 424</t>
  </si>
  <si>
    <t>6 365</t>
  </si>
  <si>
    <t>Rembang</t>
  </si>
  <si>
    <t>51 589</t>
  </si>
  <si>
    <t>3 500</t>
  </si>
  <si>
    <t>Pati</t>
  </si>
  <si>
    <t>90 262</t>
  </si>
  <si>
    <t>2.</t>
  </si>
  <si>
    <t>7 070</t>
  </si>
  <si>
    <t>Kudus</t>
  </si>
  <si>
    <t>60 005</t>
  </si>
  <si>
    <t>4 990</t>
  </si>
  <si>
    <t>Jepara</t>
  </si>
  <si>
    <t>89 617</t>
  </si>
  <si>
    <t>5 692</t>
  </si>
  <si>
    <t>Demak</t>
  </si>
  <si>
    <t>3.</t>
  </si>
  <si>
    <t>96 156</t>
  </si>
  <si>
    <t>5 509</t>
  </si>
  <si>
    <t>Semarang</t>
  </si>
  <si>
    <t>77 592</t>
  </si>
  <si>
    <t>5 381</t>
  </si>
  <si>
    <t>Temanggung</t>
  </si>
  <si>
    <t>57 403</t>
  </si>
  <si>
    <t>4.</t>
  </si>
  <si>
    <t>4 278</t>
  </si>
  <si>
    <t>Kendal</t>
  </si>
  <si>
    <t>88 594</t>
  </si>
  <si>
    <t>5 382</t>
  </si>
  <si>
    <t>Batang</t>
  </si>
  <si>
    <t>5.</t>
  </si>
  <si>
    <t>66 675</t>
  </si>
  <si>
    <t>4 151</t>
  </si>
  <si>
    <t>Pekalongan</t>
  </si>
  <si>
    <t>80 641</t>
  </si>
  <si>
    <t>3 435</t>
  </si>
  <si>
    <t>Pemalang</t>
  </si>
  <si>
    <t>6.</t>
  </si>
  <si>
    <t>142 681</t>
  </si>
  <si>
    <t>7 393</t>
  </si>
  <si>
    <t>Tegal</t>
  </si>
  <si>
    <t>134 051</t>
  </si>
  <si>
    <t>7 254</t>
  </si>
  <si>
    <t>Brebes</t>
  </si>
  <si>
    <t>157 023</t>
  </si>
  <si>
    <t>8 799</t>
  </si>
  <si>
    <t>Kota/Municipality</t>
  </si>
  <si>
    <t>7.</t>
  </si>
  <si>
    <t>14 623</t>
  </si>
  <si>
    <t>Surakarta</t>
  </si>
  <si>
    <t>64 239</t>
  </si>
  <si>
    <t>3 937</t>
  </si>
  <si>
    <t>8.</t>
  </si>
  <si>
    <t>Salatiga</t>
  </si>
  <si>
    <t>17 176</t>
  </si>
  <si>
    <t>1 185</t>
  </si>
  <si>
    <t>140 408</t>
  </si>
  <si>
    <t>9.</t>
  </si>
  <si>
    <t>7 447</t>
  </si>
  <si>
    <t>22 191</t>
  </si>
  <si>
    <t>1 353</t>
  </si>
  <si>
    <t>10.</t>
  </si>
  <si>
    <t>11.</t>
  </si>
  <si>
    <t>25 312</t>
  </si>
  <si>
    <t>1 553</t>
  </si>
  <si>
    <t>Jawa Tengah</t>
  </si>
  <si>
    <t>12.</t>
  </si>
  <si>
    <t>13.</t>
  </si>
  <si>
    <t>14.</t>
  </si>
  <si>
    <t>15.</t>
  </si>
  <si>
    <t>19 195</t>
  </si>
  <si>
    <t>2 983 956</t>
  </si>
  <si>
    <t>192 469</t>
  </si>
  <si>
    <t>15,50</t>
  </si>
  <si>
    <t>Sumber:</t>
  </si>
  <si>
    <t>Dinas Pendidikan Provinsi Jawa Tengah</t>
  </si>
  <si>
    <t>16.</t>
  </si>
  <si>
    <t>Source:</t>
  </si>
  <si>
    <t>National Education Service of Jawa Tengah Province</t>
  </si>
  <si>
    <t>NA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</si>
  <si>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</si>
  <si>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</si>
  <si>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</si>
  <si>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</si>
  <si>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</si>
  <si>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</si>
  <si>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</si>
  <si>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</si>
  <si>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</si>
  <si>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</si>
  <si>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</si>
  <si>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</si>
  <si>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</si>
  <si>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r>
      <rPr/>
      <t>Kota/</t>
    </r>
    <r>
      <rPr>
        <rFont val="Calibri"/>
        <b/>
        <i/>
        <color rgb="FF000000"/>
      </rPr>
      <t>Municipality</t>
    </r>
  </si>
  <si>
    <r>
      <rPr/>
      <t>Kota/</t>
    </r>
    <r>
      <rPr>
        <rFont val="Calibri"/>
        <b/>
        <i/>
        <color rgb="FF000000"/>
      </rPr>
      <t>Municipality</t>
    </r>
  </si>
  <si>
    <t>Jumlah Sekolah, Murid, Guru, dan Rasio Murid-Guru Sekolah Menengah Pertama Menurut Kabupaten/kota di Provinsi Jawa Tengah, 2016</t>
  </si>
  <si>
    <t>Number of Schools, Pupils, Teachers, and School-Teacher Ratio of Junior High Schools by Regency/Municipality in Jawa Tengah Province, 2016</t>
  </si>
  <si>
    <t>73 095</t>
  </si>
  <si>
    <t>4 660</t>
  </si>
  <si>
    <t>65 683</t>
  </si>
  <si>
    <t>3 555</t>
  </si>
  <si>
    <t>34 481</t>
  </si>
  <si>
    <t>2 045</t>
  </si>
  <si>
    <t>31 080</t>
  </si>
  <si>
    <t>1 980</t>
  </si>
  <si>
    <t>45 564</t>
  </si>
  <si>
    <t>2 750</t>
  </si>
  <si>
    <t>29 069</t>
  </si>
  <si>
    <t>2 210</t>
  </si>
  <si>
    <t>29 994</t>
  </si>
  <si>
    <t>2 549</t>
  </si>
  <si>
    <t>37 158</t>
  </si>
  <si>
    <t>2 670</t>
  </si>
  <si>
    <t>33 671</t>
  </si>
  <si>
    <t>2 317</t>
  </si>
  <si>
    <t>46 284</t>
  </si>
  <si>
    <t>3 449</t>
  </si>
  <si>
    <t>30 069</t>
  </si>
  <si>
    <t>2 212</t>
  </si>
  <si>
    <t>37 068</t>
  </si>
  <si>
    <t>3 231</t>
  </si>
  <si>
    <t>31 674</t>
  </si>
  <si>
    <t>2 333</t>
  </si>
  <si>
    <t>35 165</t>
  </si>
  <si>
    <t>2 604</t>
  </si>
  <si>
    <t>46 878</t>
  </si>
  <si>
    <t>2 615</t>
  </si>
  <si>
    <t>29 635</t>
  </si>
  <si>
    <t>1 953</t>
  </si>
  <si>
    <t>18 563</t>
  </si>
  <si>
    <t>1 156</t>
  </si>
  <si>
    <t>34 014</t>
  </si>
  <si>
    <t>2 612</t>
  </si>
  <si>
    <t>23 161</t>
  </si>
  <si>
    <t>1 419</t>
  </si>
  <si>
    <t>30 386</t>
  </si>
  <si>
    <t>1 615</t>
  </si>
  <si>
    <t>26 283</t>
  </si>
  <si>
    <t>1 675</t>
  </si>
  <si>
    <t>34 136</t>
  </si>
  <si>
    <t>2 073</t>
  </si>
  <si>
    <t>24 775</t>
  </si>
  <si>
    <t>1 544</t>
  </si>
  <si>
    <t>33 926</t>
  </si>
  <si>
    <t>2 198</t>
  </si>
  <si>
    <t>25 554</t>
  </si>
  <si>
    <t>1 411</t>
  </si>
  <si>
    <t>31 660</t>
  </si>
  <si>
    <t>1 086</t>
  </si>
  <si>
    <t>55 517</t>
  </si>
  <si>
    <t>3 391</t>
  </si>
  <si>
    <t>46 252</t>
  </si>
  <si>
    <t>2 278</t>
  </si>
  <si>
    <t>57 662</t>
  </si>
  <si>
    <t>3 614</t>
  </si>
  <si>
    <t>7 109</t>
  </si>
  <si>
    <t>32 714</t>
  </si>
  <si>
    <t>2 426</t>
  </si>
  <si>
    <t>8 913</t>
  </si>
  <si>
    <t>65 935</t>
  </si>
  <si>
    <t>4 504</t>
  </si>
  <si>
    <t>12 364</t>
  </si>
  <si>
    <t>13 440</t>
  </si>
  <si>
    <t>15,41</t>
  </si>
  <si>
    <t>4.1.7</t>
  </si>
  <si>
    <t>Jumlah Sekolah, Murid, Guru, dan Rasio Murid-Guru Sekolah Menengah Atas Menurut Kabupaten/kota di Provinsi Jawa Tengah, 2017</t>
  </si>
  <si>
    <t>Number of Schools, Pupils, Teachers, and School-Teacher Ratio of Senior High Schools by Regency/City in Jawa Tengah Province, 2017</t>
  </si>
  <si>
    <r>
      <rPr/>
      <t xml:space="preserve">Kabupaten/Kota                                                 </t>
    </r>
    <r>
      <rPr>
        <rFont val="Calibri"/>
        <b/>
        <i/>
        <color rgb="FF000000"/>
      </rPr>
      <t>Regency/City</t>
    </r>
  </si>
  <si>
    <r>
      <rPr/>
      <t xml:space="preserve">Sekolah </t>
    </r>
    <r>
      <rPr>
        <rFont val="Calibri"/>
        <b/>
        <i/>
        <color rgb="FF000000"/>
      </rPr>
      <t>Schools</t>
    </r>
  </si>
  <si>
    <r>
      <rPr/>
      <t xml:space="preserve">Murid              </t>
    </r>
    <r>
      <rPr>
        <rFont val="Calibri"/>
        <b/>
        <i/>
        <color rgb="FF000000"/>
      </rPr>
      <t>Pupils</t>
    </r>
  </si>
  <si>
    <r>
      <rPr/>
      <t xml:space="preserve">Guru                </t>
    </r>
    <r>
      <rPr>
        <rFont val="Calibri"/>
        <b/>
        <i/>
        <color rgb="FF000000"/>
      </rPr>
      <t>Teachers</t>
    </r>
  </si>
  <si>
    <r>
      <t xml:space="preserve">Rasio Murid-Guru
</t>
    </r>
    <r>
      <rPr>
        <i/>
      </rPr>
      <t>Pupil-Teacher Ratio</t>
    </r>
  </si>
  <si>
    <r>
      <rPr/>
      <t>Kabupaten/</t>
    </r>
    <r>
      <rPr>
        <rFont val="Calibri"/>
        <b/>
        <i/>
        <color rgb="FF000000"/>
      </rPr>
      <t>Regency</t>
    </r>
  </si>
  <si>
    <r>
      <rPr/>
      <t>Kota/</t>
    </r>
    <r>
      <rPr>
        <rFont val="Calibri"/>
        <b/>
        <i/>
        <color rgb="FF000000"/>
      </rPr>
      <t>Municipality</t>
    </r>
  </si>
  <si>
    <t>Jumlah Sekolah, Murid, Guru, dan Rasio Murid-Guru Sekolah Menengah Atas Menurut Kabupaten/kota di Provinsi Jawa Tengah, 2016</t>
  </si>
  <si>
    <t>Number of Schools, Pupils, Teachers, and School-Teacher Ratio of Senior High Schools by Regency/Municipality in Jawa Tengah Province, 2016</t>
  </si>
  <si>
    <t>16 440</t>
  </si>
  <si>
    <t>1 300</t>
  </si>
  <si>
    <t>16 264</t>
  </si>
  <si>
    <t>1 237</t>
  </si>
  <si>
    <t>7 173</t>
  </si>
  <si>
    <t>6 456</t>
  </si>
  <si>
    <t>10 025</t>
  </si>
  <si>
    <t>8 112</t>
  </si>
  <si>
    <t>6 961</t>
  </si>
  <si>
    <t>10 826</t>
  </si>
  <si>
    <t>1 042</t>
  </si>
  <si>
    <t>10 338</t>
  </si>
  <si>
    <t>10 692</t>
  </si>
  <si>
    <t>1 188</t>
  </si>
  <si>
    <t>11 371</t>
  </si>
  <si>
    <t>1 027</t>
  </si>
  <si>
    <t>8 911</t>
  </si>
  <si>
    <t>9 432</t>
  </si>
  <si>
    <t>9 053</t>
  </si>
  <si>
    <t>15 348</t>
  </si>
  <si>
    <t>8 019</t>
  </si>
  <si>
    <t>7 287</t>
  </si>
  <si>
    <t>12 430</t>
  </si>
  <si>
    <t>1 060</t>
  </si>
  <si>
    <t>9 592</t>
  </si>
  <si>
    <t>9 888</t>
  </si>
  <si>
    <t>12 775</t>
  </si>
  <si>
    <t>10 841</t>
  </si>
  <si>
    <t>5 602</t>
  </si>
  <si>
    <t>12 134</t>
  </si>
  <si>
    <t>5 786</t>
  </si>
  <si>
    <t>8 005</t>
  </si>
  <si>
    <t>12 461</t>
  </si>
  <si>
    <t>9 351</t>
  </si>
  <si>
    <t>16 013</t>
  </si>
  <si>
    <t>1 084</t>
  </si>
  <si>
    <t>4 914</t>
  </si>
  <si>
    <t>16 661</t>
  </si>
  <si>
    <t>1 424</t>
  </si>
  <si>
    <t>4 154</t>
  </si>
  <si>
    <t>31 466</t>
  </si>
  <si>
    <t>3 950</t>
  </si>
  <si>
    <t>5 425</t>
  </si>
  <si>
    <t>11,11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</si>
</sst>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\ ###\ ##0.00"/>
  </numFmts>
  <fonts count="6">
    <font>
      <sz val="11.0"/>
      <color rgb="FF000000"/>
      <name val="Calibri"/>
    </font>
    <font>
      <b/>
      <sz val="11.0"/>
      <color rgb="FF000000"/>
      <name val="Calibri"/>
    </font>
    <font/>
    <font>
      <sz val="11.0"/>
    </font>
    <font>
      <b/>
      <i/>
      <sz val="11.0"/>
      <color rgb="FF000000"/>
      <name val="Calibri"/>
    </font>
    <font>
      <i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top style="double">
        <color rgb="FF000000"/>
      </top>
    </border>
    <border>
      <top style="thin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top style="medium">
        <color rgb="FF000000"/>
      </top>
    </border>
    <border>
      <top style="thin">
        <color rgb="FF000000"/>
      </top>
      <bottom style="double">
        <color rgb="FF000000"/>
      </bottom>
    </border>
    <border>
      <bottom style="medium">
        <color rgb="FF000000"/>
      </bottom>
    </border>
    <border>
      <top style="medium">
        <color rgb="FF000000"/>
      </top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wrapText="1"/>
    </xf>
    <xf borderId="1" fillId="0" fontId="2" numFmtId="0" xfId="0" applyBorder="1" applyFont="1"/>
    <xf borderId="1" fillId="0" fontId="0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shrinkToFit="0" vertical="bottom" wrapText="0"/>
    </xf>
    <xf borderId="0" fillId="0" fontId="1" numFmtId="49" xfId="0" applyAlignment="1" applyFont="1" applyNumberFormat="1">
      <alignment horizontal="left" shrinkToFit="0" wrapText="1"/>
    </xf>
    <xf borderId="0" fillId="0" fontId="3" numFmtId="0" xfId="0" applyFont="1"/>
    <xf borderId="2" fillId="0" fontId="0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center" vertical="top"/>
    </xf>
    <xf borderId="2" fillId="0" fontId="2" numFmtId="0" xfId="0" applyBorder="1" applyFont="1"/>
    <xf borderId="0" fillId="0" fontId="4" numFmtId="49" xfId="0" applyAlignment="1" applyFont="1" applyNumberFormat="1">
      <alignment horizontal="left" shrinkToFit="0" vertical="top" wrapText="1"/>
    </xf>
    <xf borderId="0" fillId="0" fontId="0" numFmtId="0" xfId="0" applyFont="1"/>
    <xf borderId="3" fillId="0" fontId="0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quotePrefix="1" borderId="5" fillId="0" fontId="0" numFmtId="49" xfId="0" applyAlignment="1" applyBorder="1" applyFont="1" applyNumberFormat="1">
      <alignment horizontal="center" shrinkToFit="0" vertical="center" wrapText="1"/>
    </xf>
    <xf borderId="5" fillId="0" fontId="2" numFmtId="0" xfId="0" applyBorder="1" applyFont="1"/>
    <xf borderId="6" fillId="0" fontId="0" numFmtId="0" xfId="0" applyAlignment="1" applyBorder="1" applyFont="1">
      <alignment readingOrder="0" shrinkToFit="0" vertical="bottom" wrapText="0"/>
    </xf>
    <xf borderId="7" fillId="0" fontId="1" numFmtId="49" xfId="0" applyAlignment="1" applyBorder="1" applyFont="1" applyNumberForma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horizontal="right"/>
    </xf>
    <xf borderId="0" fillId="0" fontId="0" numFmtId="49" xfId="0" applyAlignment="1" applyFont="1" applyNumberFormat="1">
      <alignment horizontal="center" shrinkToFit="0" vertical="center" wrapText="1"/>
    </xf>
    <xf borderId="0" fillId="0" fontId="0" numFmtId="49" xfId="0" applyAlignment="1" applyFont="1" applyNumberFormat="1">
      <alignment horizontal="left" shrinkToFit="0" vertical="center" wrapText="1"/>
    </xf>
    <xf borderId="0" fillId="0" fontId="0" numFmtId="3" xfId="0" applyAlignment="1" applyFont="1" applyNumberFormat="1">
      <alignment horizontal="right" readingOrder="0" vertical="center"/>
    </xf>
    <xf borderId="0" fillId="0" fontId="0" numFmtId="2" xfId="0" applyAlignment="1" applyFont="1" applyNumberFormat="1">
      <alignment horizontal="right" vertical="center"/>
    </xf>
    <xf borderId="1" fillId="0" fontId="0" numFmtId="0" xfId="0" applyAlignment="1" applyBorder="1" applyFont="1">
      <alignment horizontal="right" readingOrder="0" shrinkToFit="0" vertical="bottom" wrapText="0"/>
    </xf>
    <xf borderId="8" fillId="0" fontId="0" numFmtId="0" xfId="0" applyAlignment="1" applyBorder="1" applyFont="1">
      <alignment readingOrder="0" shrinkToFit="0" vertical="bottom" wrapText="0"/>
    </xf>
    <xf borderId="8" fillId="0" fontId="2" numFmtId="0" xfId="0" applyBorder="1" applyFont="1"/>
    <xf borderId="0" fillId="0" fontId="0" numFmtId="2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0" numFmtId="1" xfId="0" applyAlignment="1" applyFont="1" applyNumberFormat="1">
      <alignment horizontal="right" vertical="center"/>
    </xf>
    <xf borderId="0" fillId="0" fontId="0" numFmtId="3" xfId="0" applyAlignment="1" applyFont="1" applyNumberFormat="1">
      <alignment horizontal="right" vertical="center"/>
    </xf>
    <xf borderId="0" fillId="0" fontId="0" numFmtId="3" xfId="0" applyAlignment="1" applyFont="1" applyNumberFormat="1">
      <alignment horizontal="right" readingOrder="0" shrinkToFit="0" vertical="bottom" wrapText="0"/>
    </xf>
    <xf borderId="0" fillId="0" fontId="0" numFmtId="3" xfId="0" applyAlignment="1" applyFont="1" applyNumberFormat="1">
      <alignment readingOrder="0" shrinkToFit="0" vertical="bottom" wrapText="0"/>
    </xf>
    <xf borderId="9" fillId="0" fontId="0" numFmtId="49" xfId="0" applyAlignment="1" applyBorder="1" applyFont="1" applyNumberFormat="1">
      <alignment horizontal="center"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9" fillId="0" fontId="0" numFmtId="49" xfId="0" applyAlignment="1" applyBorder="1" applyFont="1" applyNumberFormat="1">
      <alignment horizontal="left" shrinkToFit="0" vertical="center" wrapText="1"/>
    </xf>
    <xf borderId="10" fillId="0" fontId="2" numFmtId="0" xfId="0" applyBorder="1" applyFont="1"/>
    <xf borderId="9" fillId="0" fontId="2" numFmtId="0" xfId="0" applyBorder="1" applyFont="1"/>
    <xf borderId="10" fillId="0" fontId="1" numFmtId="3" xfId="0" applyAlignment="1" applyBorder="1" applyFont="1" applyNumberFormat="1">
      <alignment horizontal="right" vertical="center"/>
    </xf>
    <xf borderId="11" fillId="0" fontId="1" numFmtId="164" xfId="0" applyAlignment="1" applyBorder="1" applyFont="1" applyNumberFormat="1">
      <alignment horizontal="center" shrinkToFit="0" vertical="center" wrapText="1"/>
    </xf>
    <xf borderId="10" fillId="0" fontId="1" numFmtId="2" xfId="0" applyAlignment="1" applyBorder="1" applyFont="1" applyNumberFormat="1">
      <alignment horizontal="right" vertical="center"/>
    </xf>
    <xf borderId="11" fillId="0" fontId="2" numFmtId="0" xfId="0" applyBorder="1" applyFont="1"/>
    <xf borderId="0" fillId="0" fontId="5" numFmtId="49" xfId="0" applyAlignment="1" applyFont="1" applyNumberFormat="1">
      <alignment horizontal="left" shrinkToFit="0" vertical="center" wrapText="1"/>
    </xf>
    <xf borderId="11" fillId="0" fontId="0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4.71"/>
    <col customWidth="1" min="3" max="3" width="7.71"/>
    <col customWidth="1" min="4" max="4" width="7.43"/>
    <col customWidth="1" min="5" max="7" width="12.57"/>
    <col customWidth="1" min="8" max="8" width="18.57"/>
    <col customWidth="1" min="9" max="26" width="8.71"/>
  </cols>
  <sheetData>
    <row r="1" ht="34.5" customHeight="1">
      <c r="A1" s="1" t="s">
        <v>0</v>
      </c>
      <c r="B1" s="2"/>
      <c r="C1" s="5" t="s">
        <v>2</v>
      </c>
      <c r="D1" s="7" t="s">
        <v>6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10" t="s">
        <v>4</v>
      </c>
      <c r="D2" s="12" t="s">
        <v>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/>
      <c r="B3" s="1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51.0" customHeight="1">
      <c r="A4" s="15" t="s">
        <v>14</v>
      </c>
      <c r="B4" s="16"/>
      <c r="C4" s="16"/>
      <c r="D4" s="16"/>
      <c r="E4" s="15" t="s">
        <v>17</v>
      </c>
      <c r="F4" s="17" t="s">
        <v>18</v>
      </c>
      <c r="G4" s="17" t="s">
        <v>19</v>
      </c>
      <c r="H4" s="18" t="s">
        <v>20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0" t="s">
        <v>25</v>
      </c>
      <c r="B5" s="21"/>
      <c r="C5" s="21"/>
      <c r="D5" s="21"/>
      <c r="E5" s="20" t="s">
        <v>27</v>
      </c>
      <c r="F5" s="20" t="s">
        <v>28</v>
      </c>
      <c r="G5" s="20" t="s">
        <v>29</v>
      </c>
      <c r="H5" s="20" t="s">
        <v>30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3" t="s">
        <v>31</v>
      </c>
      <c r="B6" s="25"/>
      <c r="C6" s="25"/>
      <c r="D6" s="25"/>
      <c r="E6" s="27"/>
      <c r="F6" s="27"/>
      <c r="G6" s="27"/>
      <c r="H6" s="2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8" t="s">
        <v>42</v>
      </c>
      <c r="B7" s="29" t="s">
        <v>32</v>
      </c>
      <c r="E7" s="30">
        <v>1028.0</v>
      </c>
      <c r="F7" s="30">
        <v>171787.0</v>
      </c>
      <c r="G7" s="30">
        <v>9804.0</v>
      </c>
      <c r="H7" s="31">
        <f t="shared" ref="H7:H34" si="1">F7/G7</f>
        <v>17.52213382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8" t="s">
        <v>87</v>
      </c>
      <c r="B8" s="29" t="s">
        <v>35</v>
      </c>
      <c r="E8" s="30">
        <v>813.0</v>
      </c>
      <c r="F8" s="30">
        <v>146193.0</v>
      </c>
      <c r="G8" s="30">
        <v>8297.0</v>
      </c>
      <c r="H8" s="31">
        <f t="shared" si="1"/>
        <v>17.61998313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8" t="s">
        <v>96</v>
      </c>
      <c r="B9" s="29" t="s">
        <v>38</v>
      </c>
      <c r="E9" s="30">
        <v>466.0</v>
      </c>
      <c r="F9" s="30">
        <v>77811.0</v>
      </c>
      <c r="G9" s="30">
        <v>4984.0</v>
      </c>
      <c r="H9" s="31">
        <f t="shared" si="1"/>
        <v>15.61215891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8" t="s">
        <v>104</v>
      </c>
      <c r="B10" s="29" t="s">
        <v>41</v>
      </c>
      <c r="E10" s="30">
        <v>645.0</v>
      </c>
      <c r="F10" s="30">
        <v>77028.0</v>
      </c>
      <c r="G10" s="30">
        <v>5027.0</v>
      </c>
      <c r="H10" s="31">
        <f t="shared" si="1"/>
        <v>15.32285657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8" t="s">
        <v>110</v>
      </c>
      <c r="B11" s="29" t="s">
        <v>45</v>
      </c>
      <c r="E11" s="30">
        <v>802.0</v>
      </c>
      <c r="F11" s="30">
        <v>125388.0</v>
      </c>
      <c r="G11" s="30">
        <v>7135.0</v>
      </c>
      <c r="H11" s="31">
        <f t="shared" si="1"/>
        <v>17.57365102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8" t="s">
        <v>117</v>
      </c>
      <c r="B12" s="29" t="s">
        <v>48</v>
      </c>
      <c r="E12" s="30">
        <v>522.0</v>
      </c>
      <c r="F12" s="30">
        <v>70937.0</v>
      </c>
      <c r="G12" s="30">
        <v>5128.0</v>
      </c>
      <c r="H12" s="31">
        <f t="shared" si="1"/>
        <v>13.83326833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8" t="s">
        <v>127</v>
      </c>
      <c r="B13" s="29" t="s">
        <v>51</v>
      </c>
      <c r="E13" s="30">
        <v>481.0</v>
      </c>
      <c r="F13" s="30">
        <v>71192.0</v>
      </c>
      <c r="G13" s="30">
        <v>4938.0</v>
      </c>
      <c r="H13" s="31">
        <f t="shared" si="1"/>
        <v>14.41717294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8" t="s">
        <v>132</v>
      </c>
      <c r="B14" s="29" t="s">
        <v>54</v>
      </c>
      <c r="E14" s="30">
        <v>606.0</v>
      </c>
      <c r="F14" s="30">
        <v>89803.0</v>
      </c>
      <c r="G14" s="30">
        <v>6341.0</v>
      </c>
      <c r="H14" s="31">
        <f t="shared" si="1"/>
        <v>14.16227724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8" t="s">
        <v>137</v>
      </c>
      <c r="B15" s="29" t="s">
        <v>57</v>
      </c>
      <c r="E15" s="30">
        <v>601.0</v>
      </c>
      <c r="F15" s="30">
        <v>76569.0</v>
      </c>
      <c r="G15" s="30">
        <v>5943.0</v>
      </c>
      <c r="H15" s="31">
        <f t="shared" si="1"/>
        <v>12.88389702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8" t="s">
        <v>141</v>
      </c>
      <c r="B16" s="29" t="s">
        <v>60</v>
      </c>
      <c r="E16" s="30">
        <v>773.0</v>
      </c>
      <c r="F16" s="30">
        <v>101713.0</v>
      </c>
      <c r="G16" s="30">
        <v>7950.0</v>
      </c>
      <c r="H16" s="31">
        <f t="shared" si="1"/>
        <v>12.79408805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8" t="s">
        <v>142</v>
      </c>
      <c r="B17" s="29" t="s">
        <v>63</v>
      </c>
      <c r="E17" s="30">
        <v>471.0</v>
      </c>
      <c r="F17" s="30">
        <v>60319.0</v>
      </c>
      <c r="G17" s="30">
        <v>5348.0</v>
      </c>
      <c r="H17" s="31">
        <f t="shared" si="1"/>
        <v>11.27879581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8" t="s">
        <v>146</v>
      </c>
      <c r="B18" s="29" t="s">
        <v>66</v>
      </c>
      <c r="E18" s="30">
        <v>755.0</v>
      </c>
      <c r="F18" s="30">
        <v>78271.0</v>
      </c>
      <c r="G18" s="30">
        <v>7495.0</v>
      </c>
      <c r="H18" s="31">
        <f t="shared" si="1"/>
        <v>10.4430954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8" t="s">
        <v>147</v>
      </c>
      <c r="B19" s="29" t="s">
        <v>69</v>
      </c>
      <c r="E19" s="30">
        <v>497.0</v>
      </c>
      <c r="F19" s="30">
        <v>70026.0</v>
      </c>
      <c r="G19" s="30">
        <v>5145.0</v>
      </c>
      <c r="H19" s="31">
        <f t="shared" si="1"/>
        <v>13.61049563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8" t="s">
        <v>148</v>
      </c>
      <c r="B20" s="29" t="s">
        <v>72</v>
      </c>
      <c r="E20" s="30">
        <v>573.0</v>
      </c>
      <c r="F20" s="30">
        <v>77707.0</v>
      </c>
      <c r="G20" s="30">
        <v>6009.0</v>
      </c>
      <c r="H20" s="31">
        <f t="shared" si="1"/>
        <v>12.93176901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8" t="s">
        <v>149</v>
      </c>
      <c r="B21" s="29" t="s">
        <v>76</v>
      </c>
      <c r="E21" s="30">
        <v>822.0</v>
      </c>
      <c r="F21" s="30">
        <v>137550.0</v>
      </c>
      <c r="G21" s="30">
        <v>7354.0</v>
      </c>
      <c r="H21" s="31">
        <f t="shared" si="1"/>
        <v>18.70410661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8" t="s">
        <v>156</v>
      </c>
      <c r="B22" s="29" t="s">
        <v>79</v>
      </c>
      <c r="E22" s="30">
        <v>598.0</v>
      </c>
      <c r="F22" s="30">
        <v>75424.0</v>
      </c>
      <c r="G22" s="30">
        <v>6365.0</v>
      </c>
      <c r="H22" s="31">
        <f t="shared" si="1"/>
        <v>11.84980361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8" t="s">
        <v>160</v>
      </c>
      <c r="B23" s="29" t="s">
        <v>82</v>
      </c>
      <c r="E23" s="30">
        <v>374.0</v>
      </c>
      <c r="F23" s="30">
        <v>51589.0</v>
      </c>
      <c r="G23" s="30">
        <v>3500.0</v>
      </c>
      <c r="H23" s="31">
        <f t="shared" si="1"/>
        <v>14.73971429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8" t="s">
        <v>161</v>
      </c>
      <c r="B24" s="29" t="s">
        <v>85</v>
      </c>
      <c r="E24" s="30">
        <v>677.0</v>
      </c>
      <c r="F24" s="30">
        <v>90262.0</v>
      </c>
      <c r="G24" s="30">
        <v>7070.0</v>
      </c>
      <c r="H24" s="31">
        <f t="shared" si="1"/>
        <v>12.7669024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8" t="s">
        <v>162</v>
      </c>
      <c r="B25" s="29" t="s">
        <v>89</v>
      </c>
      <c r="E25" s="30">
        <v>459.0</v>
      </c>
      <c r="F25" s="30">
        <v>60005.0</v>
      </c>
      <c r="G25" s="30">
        <v>4990.0</v>
      </c>
      <c r="H25" s="31">
        <f t="shared" si="1"/>
        <v>12.0250501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8" t="s">
        <v>163</v>
      </c>
      <c r="B26" s="29" t="s">
        <v>92</v>
      </c>
      <c r="E26" s="30">
        <v>599.0</v>
      </c>
      <c r="F26" s="30">
        <v>89617.0</v>
      </c>
      <c r="G26" s="30">
        <v>5692.0</v>
      </c>
      <c r="H26" s="31">
        <f t="shared" si="1"/>
        <v>15.74437807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8" t="s">
        <v>164</v>
      </c>
      <c r="B27" s="29" t="s">
        <v>95</v>
      </c>
      <c r="E27" s="30">
        <v>492.0</v>
      </c>
      <c r="F27" s="30">
        <v>96156.0</v>
      </c>
      <c r="G27" s="30">
        <v>5509.0</v>
      </c>
      <c r="H27" s="31">
        <f t="shared" si="1"/>
        <v>17.45434743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8" t="s">
        <v>165</v>
      </c>
      <c r="B28" s="29" t="s">
        <v>99</v>
      </c>
      <c r="E28" s="30">
        <v>511.0</v>
      </c>
      <c r="F28" s="30">
        <v>77592.0</v>
      </c>
      <c r="G28" s="30">
        <v>5381.0</v>
      </c>
      <c r="H28" s="31">
        <f t="shared" si="1"/>
        <v>14.41962461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8" t="s">
        <v>166</v>
      </c>
      <c r="B29" s="29" t="s">
        <v>102</v>
      </c>
      <c r="E29" s="30">
        <v>532.0</v>
      </c>
      <c r="F29" s="30">
        <v>57403.0</v>
      </c>
      <c r="G29" s="30">
        <v>4278.0</v>
      </c>
      <c r="H29" s="31">
        <f t="shared" si="1"/>
        <v>13.41818607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8" t="s">
        <v>167</v>
      </c>
      <c r="B30" s="29" t="s">
        <v>106</v>
      </c>
      <c r="E30" s="30">
        <v>571.0</v>
      </c>
      <c r="F30" s="30">
        <v>88594.0</v>
      </c>
      <c r="G30" s="30">
        <v>5382.0</v>
      </c>
      <c r="H30" s="31">
        <f t="shared" si="1"/>
        <v>16.46116685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8" t="s">
        <v>168</v>
      </c>
      <c r="B31" s="29" t="s">
        <v>109</v>
      </c>
      <c r="E31" s="30">
        <v>455.0</v>
      </c>
      <c r="F31" s="30">
        <v>66675.0</v>
      </c>
      <c r="G31" s="30">
        <v>4151.0</v>
      </c>
      <c r="H31" s="31">
        <f t="shared" si="1"/>
        <v>16.0623946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8" t="s">
        <v>169</v>
      </c>
      <c r="B32" s="29" t="s">
        <v>113</v>
      </c>
      <c r="E32" s="30">
        <v>518.0</v>
      </c>
      <c r="F32" s="30">
        <v>80641.0</v>
      </c>
      <c r="G32" s="30">
        <v>3435.0</v>
      </c>
      <c r="H32" s="31">
        <f t="shared" si="1"/>
        <v>23.47627365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8" t="s">
        <v>170</v>
      </c>
      <c r="B33" s="29" t="s">
        <v>116</v>
      </c>
      <c r="E33" s="30">
        <v>771.0</v>
      </c>
      <c r="F33" s="30">
        <v>142681.0</v>
      </c>
      <c r="G33" s="30">
        <v>7393.0</v>
      </c>
      <c r="H33" s="31">
        <f t="shared" si="1"/>
        <v>19.29947247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8" t="s">
        <v>171</v>
      </c>
      <c r="B34" s="29" t="s">
        <v>120</v>
      </c>
      <c r="E34" s="30">
        <v>718.0</v>
      </c>
      <c r="F34" s="30">
        <v>134051.0</v>
      </c>
      <c r="G34" s="30">
        <v>7254.0</v>
      </c>
      <c r="H34" s="31">
        <f t="shared" si="1"/>
        <v>18.47959746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8" t="s">
        <v>172</v>
      </c>
      <c r="B35" s="29" t="s">
        <v>123</v>
      </c>
      <c r="E35" s="30">
        <v>890.0</v>
      </c>
      <c r="F35" s="30">
        <v>157023.0</v>
      </c>
      <c r="G35" s="30">
        <v>8799.0</v>
      </c>
      <c r="H35" s="35">
        <v>17.85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6" t="s">
        <v>174</v>
      </c>
      <c r="E36" s="38"/>
      <c r="F36" s="38"/>
      <c r="G36" s="38"/>
      <c r="H36" s="31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8" t="s">
        <v>42</v>
      </c>
      <c r="B37" s="29" t="s">
        <v>54</v>
      </c>
      <c r="E37" s="39">
        <v>75.0</v>
      </c>
      <c r="F37" s="40">
        <v>14623.0</v>
      </c>
      <c r="G37" s="40">
        <v>897.0</v>
      </c>
      <c r="H37" s="31">
        <f t="shared" ref="H37:H43" si="2">F37/G37</f>
        <v>16.30211817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8" t="s">
        <v>87</v>
      </c>
      <c r="B38" s="29" t="s">
        <v>129</v>
      </c>
      <c r="E38" s="39">
        <v>254.0</v>
      </c>
      <c r="F38" s="40">
        <v>64239.0</v>
      </c>
      <c r="G38" s="40">
        <v>3937.0</v>
      </c>
      <c r="H38" s="31">
        <f t="shared" si="2"/>
        <v>16.31673863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8" t="s">
        <v>96</v>
      </c>
      <c r="B39" s="29" t="s">
        <v>133</v>
      </c>
      <c r="E39" s="39">
        <v>96.0</v>
      </c>
      <c r="F39" s="40">
        <v>17176.0</v>
      </c>
      <c r="G39" s="40">
        <v>1185.0</v>
      </c>
      <c r="H39" s="31">
        <f t="shared" si="2"/>
        <v>14.49451477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8" t="s">
        <v>104</v>
      </c>
      <c r="B40" s="29" t="s">
        <v>99</v>
      </c>
      <c r="E40" s="39">
        <v>512.0</v>
      </c>
      <c r="F40" s="40">
        <v>140408.0</v>
      </c>
      <c r="G40" s="40">
        <v>7447.0</v>
      </c>
      <c r="H40" s="31">
        <f t="shared" si="2"/>
        <v>18.85430375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8" t="s">
        <v>110</v>
      </c>
      <c r="B41" s="29" t="s">
        <v>113</v>
      </c>
      <c r="E41" s="39">
        <v>98.0</v>
      </c>
      <c r="F41" s="40">
        <v>22191.0</v>
      </c>
      <c r="G41" s="40">
        <v>1353.0</v>
      </c>
      <c r="H41" s="31">
        <f t="shared" si="2"/>
        <v>16.40133038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1" t="s">
        <v>117</v>
      </c>
      <c r="B42" s="43" t="s">
        <v>120</v>
      </c>
      <c r="C42" s="45"/>
      <c r="D42" s="45"/>
      <c r="E42" s="39">
        <v>140.0</v>
      </c>
      <c r="F42" s="40">
        <v>25312.0</v>
      </c>
      <c r="G42" s="40">
        <v>1553.0</v>
      </c>
      <c r="H42" s="31">
        <f t="shared" si="2"/>
        <v>16.29877656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7" t="s">
        <v>145</v>
      </c>
      <c r="B43" s="49"/>
      <c r="C43" s="49"/>
      <c r="D43" s="49"/>
      <c r="E43" s="46">
        <f t="shared" ref="E43:G43" si="3">SUM(E7:E42)</f>
        <v>19195</v>
      </c>
      <c r="F43" s="46">
        <f t="shared" si="3"/>
        <v>2983956</v>
      </c>
      <c r="G43" s="46">
        <f t="shared" si="3"/>
        <v>192469</v>
      </c>
      <c r="H43" s="48">
        <f t="shared" si="2"/>
        <v>15.50356681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7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.75" customHeight="1">
      <c r="A45" s="29" t="s">
        <v>154</v>
      </c>
      <c r="C45" s="29" t="s">
        <v>155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.75" customHeight="1">
      <c r="A46" s="50" t="s">
        <v>157</v>
      </c>
      <c r="C46" s="50" t="s">
        <v>158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9">
    <mergeCell ref="B17:D17"/>
    <mergeCell ref="B18:D18"/>
    <mergeCell ref="A6:D6"/>
    <mergeCell ref="B7:D7"/>
    <mergeCell ref="B20:D20"/>
    <mergeCell ref="B19:D19"/>
    <mergeCell ref="B22:D22"/>
    <mergeCell ref="B21:D21"/>
    <mergeCell ref="B23:D23"/>
    <mergeCell ref="B24:D24"/>
    <mergeCell ref="B14:D14"/>
    <mergeCell ref="B25:D25"/>
    <mergeCell ref="A5:D5"/>
    <mergeCell ref="A4:D4"/>
    <mergeCell ref="B11:D11"/>
    <mergeCell ref="B30:D30"/>
    <mergeCell ref="B31:D31"/>
    <mergeCell ref="B32:D32"/>
    <mergeCell ref="B33:D33"/>
    <mergeCell ref="B34:D34"/>
    <mergeCell ref="B35:D35"/>
    <mergeCell ref="B28:D28"/>
    <mergeCell ref="B29:D29"/>
    <mergeCell ref="B40:D40"/>
    <mergeCell ref="B37:D37"/>
    <mergeCell ref="B39:D39"/>
    <mergeCell ref="B38:D38"/>
    <mergeCell ref="A36:D36"/>
    <mergeCell ref="C45:H45"/>
    <mergeCell ref="C46:H46"/>
    <mergeCell ref="A46:B46"/>
    <mergeCell ref="A45:B45"/>
    <mergeCell ref="B10:D10"/>
    <mergeCell ref="B9:D9"/>
    <mergeCell ref="D1:H1"/>
    <mergeCell ref="D2:H2"/>
    <mergeCell ref="C1:C2"/>
    <mergeCell ref="B8:D8"/>
    <mergeCell ref="A1:B1"/>
    <mergeCell ref="A2:B2"/>
    <mergeCell ref="B12:D12"/>
    <mergeCell ref="B13:D13"/>
    <mergeCell ref="B15:D15"/>
    <mergeCell ref="B16:D16"/>
    <mergeCell ref="B41:D41"/>
    <mergeCell ref="B42:D42"/>
    <mergeCell ref="A43:D43"/>
    <mergeCell ref="B26:D26"/>
    <mergeCell ref="B27:D27"/>
  </mergeCells>
  <printOptions/>
  <pageMargins bottom="0.7874015748031497" footer="0.0" header="0.0" left="0.7874015748031497" right="0.5905511811023623" top="0.7874015748031497"/>
  <pageSetup paperSize="11" scale="66" orientation="portrait"/>
  <headerFooter>
    <oddHeader>&amp;RSOSIAL</oddHeader>
    <oddFooter>&amp;RProvinsi Sulawesi Selatan Dalam Angka 2015  |  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2"/>
      <c r="C1" s="4" t="s">
        <v>2</v>
      </c>
      <c r="D1" s="4" t="s">
        <v>3</v>
      </c>
    </row>
    <row r="2">
      <c r="A2" s="4" t="s">
        <v>4</v>
      </c>
      <c r="D2" s="4" t="s">
        <v>5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9" t="s">
        <v>7</v>
      </c>
      <c r="B4" s="11"/>
      <c r="C4" s="11"/>
      <c r="D4" s="11"/>
      <c r="E4" s="9" t="s">
        <v>9</v>
      </c>
      <c r="F4" s="9" t="s">
        <v>10</v>
      </c>
      <c r="G4" s="9" t="s">
        <v>11</v>
      </c>
      <c r="H4" s="9" t="s">
        <v>12</v>
      </c>
    </row>
    <row r="5">
      <c r="A5" s="2"/>
      <c r="B5" s="2"/>
      <c r="C5" s="2"/>
      <c r="D5" s="2"/>
      <c r="E5" s="2"/>
      <c r="F5" s="2"/>
      <c r="G5" s="2"/>
      <c r="H5" s="2"/>
    </row>
    <row r="6">
      <c r="A6" s="14">
        <v>-1.0</v>
      </c>
      <c r="B6" s="19"/>
      <c r="C6" s="19"/>
      <c r="D6" s="19"/>
      <c r="E6" s="14">
        <v>-2.0</v>
      </c>
      <c r="F6" s="14">
        <v>-3.0</v>
      </c>
      <c r="G6" s="14">
        <v>-4.0</v>
      </c>
      <c r="H6" s="14">
        <v>-5.0</v>
      </c>
    </row>
    <row r="7">
      <c r="A7" s="22" t="s">
        <v>26</v>
      </c>
      <c r="B7" s="24"/>
      <c r="C7" s="24"/>
      <c r="D7" s="24"/>
      <c r="E7" s="6"/>
      <c r="F7" s="6"/>
      <c r="G7" s="6"/>
      <c r="H7" s="6"/>
    </row>
    <row r="8">
      <c r="A8" s="4">
        <v>1.0</v>
      </c>
      <c r="B8" s="4" t="s">
        <v>32</v>
      </c>
      <c r="E8" s="26">
        <v>1028.0</v>
      </c>
      <c r="F8" s="4" t="s">
        <v>33</v>
      </c>
      <c r="G8" s="4" t="s">
        <v>34</v>
      </c>
      <c r="H8" s="26">
        <v>18.0</v>
      </c>
    </row>
    <row r="9">
      <c r="A9" s="4">
        <v>2.0</v>
      </c>
      <c r="B9" s="4" t="s">
        <v>35</v>
      </c>
      <c r="E9" s="26">
        <v>813.0</v>
      </c>
      <c r="F9" s="4" t="s">
        <v>36</v>
      </c>
      <c r="G9" s="4" t="s">
        <v>37</v>
      </c>
      <c r="H9" s="26">
        <v>18.0</v>
      </c>
    </row>
    <row r="10">
      <c r="A10" s="4">
        <v>3.0</v>
      </c>
      <c r="B10" s="4" t="s">
        <v>38</v>
      </c>
      <c r="E10" s="26">
        <v>466.0</v>
      </c>
      <c r="F10" s="4" t="s">
        <v>39</v>
      </c>
      <c r="G10" s="4" t="s">
        <v>40</v>
      </c>
      <c r="H10" s="26">
        <v>16.0</v>
      </c>
    </row>
    <row r="11">
      <c r="A11" s="4">
        <v>4.0</v>
      </c>
      <c r="B11" s="4" t="s">
        <v>41</v>
      </c>
      <c r="E11" s="26">
        <v>645.0</v>
      </c>
      <c r="F11" s="4" t="s">
        <v>43</v>
      </c>
      <c r="G11" s="4" t="s">
        <v>44</v>
      </c>
      <c r="H11" s="26">
        <v>15.0</v>
      </c>
    </row>
    <row r="12">
      <c r="A12" s="4">
        <v>5.0</v>
      </c>
      <c r="B12" s="4" t="s">
        <v>45</v>
      </c>
      <c r="E12" s="26">
        <v>802.0</v>
      </c>
      <c r="F12" s="4" t="s">
        <v>46</v>
      </c>
      <c r="G12" s="4" t="s">
        <v>47</v>
      </c>
      <c r="H12" s="26">
        <v>18.0</v>
      </c>
    </row>
    <row r="13">
      <c r="A13" s="4">
        <v>6.0</v>
      </c>
      <c r="B13" s="4" t="s">
        <v>48</v>
      </c>
      <c r="E13" s="26">
        <v>522.0</v>
      </c>
      <c r="F13" s="4" t="s">
        <v>49</v>
      </c>
      <c r="G13" s="4" t="s">
        <v>50</v>
      </c>
      <c r="H13" s="26">
        <v>14.0</v>
      </c>
    </row>
    <row r="14">
      <c r="A14" s="4">
        <v>7.0</v>
      </c>
      <c r="B14" s="4" t="s">
        <v>51</v>
      </c>
      <c r="E14" s="26">
        <v>481.0</v>
      </c>
      <c r="F14" s="4" t="s">
        <v>52</v>
      </c>
      <c r="G14" s="4" t="s">
        <v>53</v>
      </c>
      <c r="H14" s="26">
        <v>14.0</v>
      </c>
    </row>
    <row r="15">
      <c r="A15" s="4">
        <v>8.0</v>
      </c>
      <c r="B15" s="4" t="s">
        <v>54</v>
      </c>
      <c r="E15" s="26">
        <v>606.0</v>
      </c>
      <c r="F15" s="4" t="s">
        <v>55</v>
      </c>
      <c r="G15" s="4" t="s">
        <v>56</v>
      </c>
      <c r="H15" s="26">
        <v>14.0</v>
      </c>
    </row>
    <row r="16">
      <c r="A16" s="4">
        <v>9.0</v>
      </c>
      <c r="B16" s="4" t="s">
        <v>57</v>
      </c>
      <c r="E16" s="26">
        <v>601.0</v>
      </c>
      <c r="F16" s="4" t="s">
        <v>58</v>
      </c>
      <c r="G16" s="4" t="s">
        <v>59</v>
      </c>
      <c r="H16" s="26">
        <v>13.0</v>
      </c>
    </row>
    <row r="17">
      <c r="A17" s="4">
        <v>10.0</v>
      </c>
      <c r="B17" s="4" t="s">
        <v>60</v>
      </c>
      <c r="E17" s="26">
        <v>773.0</v>
      </c>
      <c r="F17" s="4" t="s">
        <v>61</v>
      </c>
      <c r="G17" s="4" t="s">
        <v>62</v>
      </c>
      <c r="H17" s="26">
        <v>13.0</v>
      </c>
    </row>
    <row r="18">
      <c r="A18" s="4">
        <v>11.0</v>
      </c>
      <c r="B18" s="4" t="s">
        <v>63</v>
      </c>
      <c r="E18" s="26">
        <v>471.0</v>
      </c>
      <c r="F18" s="4" t="s">
        <v>64</v>
      </c>
      <c r="G18" s="4" t="s">
        <v>65</v>
      </c>
      <c r="H18" s="26">
        <v>11.0</v>
      </c>
    </row>
    <row r="19">
      <c r="A19" s="4">
        <v>12.0</v>
      </c>
      <c r="B19" s="4" t="s">
        <v>66</v>
      </c>
      <c r="E19" s="26">
        <v>755.0</v>
      </c>
      <c r="F19" s="4" t="s">
        <v>67</v>
      </c>
      <c r="G19" s="4" t="s">
        <v>68</v>
      </c>
      <c r="H19" s="26">
        <v>10.0</v>
      </c>
    </row>
    <row r="20">
      <c r="A20" s="4">
        <v>13.0</v>
      </c>
      <c r="B20" s="4" t="s">
        <v>69</v>
      </c>
      <c r="E20" s="26">
        <v>497.0</v>
      </c>
      <c r="F20" s="4" t="s">
        <v>70</v>
      </c>
      <c r="G20" s="4" t="s">
        <v>71</v>
      </c>
      <c r="H20" s="26">
        <v>14.0</v>
      </c>
    </row>
    <row r="21">
      <c r="A21" s="4">
        <v>14.0</v>
      </c>
      <c r="B21" s="4" t="s">
        <v>72</v>
      </c>
      <c r="E21" s="26">
        <v>573.0</v>
      </c>
      <c r="F21" s="4" t="s">
        <v>73</v>
      </c>
      <c r="G21" s="4" t="s">
        <v>75</v>
      </c>
      <c r="H21" s="26">
        <v>13.0</v>
      </c>
    </row>
    <row r="22">
      <c r="A22" s="4">
        <v>15.0</v>
      </c>
      <c r="B22" s="4" t="s">
        <v>76</v>
      </c>
      <c r="E22" s="26">
        <v>822.0</v>
      </c>
      <c r="F22" s="4" t="s">
        <v>77</v>
      </c>
      <c r="G22" s="4" t="s">
        <v>78</v>
      </c>
      <c r="H22" s="26">
        <v>19.0</v>
      </c>
    </row>
    <row r="23">
      <c r="A23" s="4">
        <v>16.0</v>
      </c>
      <c r="B23" s="4" t="s">
        <v>79</v>
      </c>
      <c r="E23" s="26">
        <v>598.0</v>
      </c>
      <c r="F23" s="4" t="s">
        <v>80</v>
      </c>
      <c r="G23" s="4" t="s">
        <v>81</v>
      </c>
      <c r="H23" s="26">
        <v>12.0</v>
      </c>
    </row>
    <row r="24">
      <c r="A24" s="4">
        <v>17.0</v>
      </c>
      <c r="B24" s="4" t="s">
        <v>82</v>
      </c>
      <c r="E24" s="26">
        <v>374.0</v>
      </c>
      <c r="F24" s="4" t="s">
        <v>83</v>
      </c>
      <c r="G24" s="4" t="s">
        <v>84</v>
      </c>
      <c r="H24" s="26">
        <v>15.0</v>
      </c>
    </row>
    <row r="25">
      <c r="A25" s="4">
        <v>18.0</v>
      </c>
      <c r="B25" s="4" t="s">
        <v>85</v>
      </c>
      <c r="E25" s="26">
        <v>677.0</v>
      </c>
      <c r="F25" s="4" t="s">
        <v>86</v>
      </c>
      <c r="G25" s="4" t="s">
        <v>88</v>
      </c>
      <c r="H25" s="26">
        <v>13.0</v>
      </c>
    </row>
    <row r="26">
      <c r="A26" s="4">
        <v>19.0</v>
      </c>
      <c r="B26" s="4" t="s">
        <v>89</v>
      </c>
      <c r="E26" s="26">
        <v>459.0</v>
      </c>
      <c r="F26" s="4" t="s">
        <v>90</v>
      </c>
      <c r="G26" s="4" t="s">
        <v>91</v>
      </c>
      <c r="H26" s="26">
        <v>12.0</v>
      </c>
    </row>
    <row r="27">
      <c r="A27" s="4">
        <v>20.0</v>
      </c>
      <c r="B27" s="4" t="s">
        <v>92</v>
      </c>
      <c r="E27" s="26">
        <v>599.0</v>
      </c>
      <c r="F27" s="4" t="s">
        <v>93</v>
      </c>
      <c r="G27" s="4" t="s">
        <v>94</v>
      </c>
      <c r="H27" s="26">
        <v>16.0</v>
      </c>
    </row>
    <row r="28">
      <c r="A28" s="4">
        <v>21.0</v>
      </c>
      <c r="B28" s="4" t="s">
        <v>95</v>
      </c>
      <c r="E28" s="26">
        <v>492.0</v>
      </c>
      <c r="F28" s="4" t="s">
        <v>97</v>
      </c>
      <c r="G28" s="4" t="s">
        <v>98</v>
      </c>
      <c r="H28" s="26">
        <v>17.0</v>
      </c>
    </row>
    <row r="29">
      <c r="A29" s="4">
        <v>22.0</v>
      </c>
      <c r="B29" s="4" t="s">
        <v>99</v>
      </c>
      <c r="E29" s="26">
        <v>511.0</v>
      </c>
      <c r="F29" s="4" t="s">
        <v>100</v>
      </c>
      <c r="G29" s="4" t="s">
        <v>101</v>
      </c>
      <c r="H29" s="26">
        <v>14.0</v>
      </c>
    </row>
    <row r="30">
      <c r="A30" s="4">
        <v>23.0</v>
      </c>
      <c r="B30" s="4" t="s">
        <v>102</v>
      </c>
      <c r="E30" s="26">
        <v>532.0</v>
      </c>
      <c r="F30" s="4" t="s">
        <v>103</v>
      </c>
      <c r="G30" s="4" t="s">
        <v>105</v>
      </c>
      <c r="H30" s="26">
        <v>13.0</v>
      </c>
    </row>
    <row r="31">
      <c r="A31" s="4">
        <v>24.0</v>
      </c>
      <c r="B31" s="4" t="s">
        <v>106</v>
      </c>
      <c r="E31" s="26">
        <v>571.0</v>
      </c>
      <c r="F31" s="4" t="s">
        <v>107</v>
      </c>
      <c r="G31" s="4" t="s">
        <v>108</v>
      </c>
      <c r="H31" s="26">
        <v>16.0</v>
      </c>
    </row>
    <row r="32">
      <c r="A32" s="4">
        <v>25.0</v>
      </c>
      <c r="B32" s="4" t="s">
        <v>109</v>
      </c>
      <c r="E32" s="26">
        <v>455.0</v>
      </c>
      <c r="F32" s="4" t="s">
        <v>111</v>
      </c>
      <c r="G32" s="4" t="s">
        <v>112</v>
      </c>
      <c r="H32" s="26">
        <v>16.0</v>
      </c>
    </row>
    <row r="33">
      <c r="A33" s="4">
        <v>26.0</v>
      </c>
      <c r="B33" s="4" t="s">
        <v>113</v>
      </c>
      <c r="E33" s="26">
        <v>518.0</v>
      </c>
      <c r="F33" s="4" t="s">
        <v>114</v>
      </c>
      <c r="G33" s="4" t="s">
        <v>115</v>
      </c>
      <c r="H33" s="26">
        <v>23.0</v>
      </c>
    </row>
    <row r="34">
      <c r="A34" s="4">
        <v>27.0</v>
      </c>
      <c r="B34" s="4" t="s">
        <v>116</v>
      </c>
      <c r="E34" s="26">
        <v>771.0</v>
      </c>
      <c r="F34" s="4" t="s">
        <v>118</v>
      </c>
      <c r="G34" s="4" t="s">
        <v>119</v>
      </c>
      <c r="H34" s="26">
        <v>19.0</v>
      </c>
    </row>
    <row r="35">
      <c r="A35" s="4">
        <v>28.0</v>
      </c>
      <c r="B35" s="4" t="s">
        <v>120</v>
      </c>
      <c r="E35" s="26">
        <v>718.0</v>
      </c>
      <c r="F35" s="4" t="s">
        <v>121</v>
      </c>
      <c r="G35" s="4" t="s">
        <v>122</v>
      </c>
      <c r="H35" s="26">
        <v>18.0</v>
      </c>
    </row>
    <row r="36">
      <c r="A36" s="4">
        <v>29.0</v>
      </c>
      <c r="B36" s="4" t="s">
        <v>123</v>
      </c>
      <c r="E36" s="26">
        <v>890.0</v>
      </c>
      <c r="F36" s="4" t="s">
        <v>124</v>
      </c>
      <c r="G36" s="4" t="s">
        <v>125</v>
      </c>
      <c r="H36" s="26">
        <v>18.0</v>
      </c>
    </row>
    <row r="37">
      <c r="A37" s="4" t="s">
        <v>126</v>
      </c>
      <c r="E37" s="6"/>
      <c r="F37" s="6"/>
      <c r="G37" s="6"/>
      <c r="H37" s="6"/>
    </row>
    <row r="38">
      <c r="A38" s="4">
        <v>1.0</v>
      </c>
      <c r="B38" s="4" t="s">
        <v>54</v>
      </c>
      <c r="E38" s="26">
        <v>75.0</v>
      </c>
      <c r="F38" s="4" t="s">
        <v>128</v>
      </c>
      <c r="G38" s="4">
        <v>897.0</v>
      </c>
      <c r="H38" s="26">
        <v>16.0</v>
      </c>
    </row>
    <row r="39">
      <c r="A39" s="4">
        <v>2.0</v>
      </c>
      <c r="B39" s="4" t="s">
        <v>129</v>
      </c>
      <c r="E39" s="26">
        <v>254.0</v>
      </c>
      <c r="F39" s="4" t="s">
        <v>130</v>
      </c>
      <c r="G39" s="4" t="s">
        <v>131</v>
      </c>
      <c r="H39" s="26">
        <v>16.0</v>
      </c>
    </row>
    <row r="40">
      <c r="A40" s="4">
        <v>3.0</v>
      </c>
      <c r="B40" s="4" t="s">
        <v>133</v>
      </c>
      <c r="E40" s="26">
        <v>96.0</v>
      </c>
      <c r="F40" s="4" t="s">
        <v>134</v>
      </c>
      <c r="G40" s="4" t="s">
        <v>135</v>
      </c>
      <c r="H40" s="26">
        <v>14.0</v>
      </c>
    </row>
    <row r="41">
      <c r="A41" s="4">
        <v>4.0</v>
      </c>
      <c r="B41" s="4" t="s">
        <v>99</v>
      </c>
      <c r="E41" s="26">
        <v>512.0</v>
      </c>
      <c r="F41" s="4" t="s">
        <v>136</v>
      </c>
      <c r="G41" s="4" t="s">
        <v>138</v>
      </c>
      <c r="H41" s="26">
        <v>19.0</v>
      </c>
    </row>
    <row r="42">
      <c r="A42" s="4">
        <v>5.0</v>
      </c>
      <c r="B42" s="4" t="s">
        <v>113</v>
      </c>
      <c r="E42" s="26">
        <v>98.0</v>
      </c>
      <c r="F42" s="4" t="s">
        <v>139</v>
      </c>
      <c r="G42" s="4" t="s">
        <v>140</v>
      </c>
      <c r="H42" s="26">
        <v>16.0</v>
      </c>
    </row>
    <row r="43">
      <c r="A43" s="4">
        <v>6.0</v>
      </c>
      <c r="B43" s="3" t="s">
        <v>120</v>
      </c>
      <c r="C43" s="2"/>
      <c r="D43" s="2"/>
      <c r="E43" s="32">
        <v>140.0</v>
      </c>
      <c r="F43" s="3" t="s">
        <v>143</v>
      </c>
      <c r="G43" s="3" t="s">
        <v>144</v>
      </c>
      <c r="H43" s="32">
        <v>17.0</v>
      </c>
    </row>
    <row r="44">
      <c r="A44" s="33" t="s">
        <v>145</v>
      </c>
      <c r="B44" s="34"/>
      <c r="C44" s="34"/>
      <c r="D44" s="34"/>
      <c r="E44" s="33" t="s">
        <v>150</v>
      </c>
      <c r="F44" s="33" t="s">
        <v>151</v>
      </c>
      <c r="G44" s="33" t="s">
        <v>152</v>
      </c>
      <c r="H44" s="33" t="s">
        <v>153</v>
      </c>
    </row>
    <row r="45">
      <c r="A45" s="4" t="s">
        <v>154</v>
      </c>
      <c r="C45" s="4" t="s">
        <v>155</v>
      </c>
    </row>
    <row r="46">
      <c r="A46" s="4" t="s">
        <v>157</v>
      </c>
      <c r="C46" s="4" t="s">
        <v>158</v>
      </c>
    </row>
  </sheetData>
  <mergeCells count="53">
    <mergeCell ref="B29:D29"/>
    <mergeCell ref="B30:D30"/>
    <mergeCell ref="B31:D31"/>
    <mergeCell ref="B32:D32"/>
    <mergeCell ref="B33:D33"/>
    <mergeCell ref="B34:D34"/>
    <mergeCell ref="B26:D26"/>
    <mergeCell ref="B27:D27"/>
    <mergeCell ref="B28:D28"/>
    <mergeCell ref="A45:B45"/>
    <mergeCell ref="C45:H45"/>
    <mergeCell ref="A46:B46"/>
    <mergeCell ref="C46:H46"/>
    <mergeCell ref="B40:D40"/>
    <mergeCell ref="B41:D41"/>
    <mergeCell ref="B42:D42"/>
    <mergeCell ref="B43:D43"/>
    <mergeCell ref="A44:D44"/>
    <mergeCell ref="D1:H1"/>
    <mergeCell ref="D2:H2"/>
    <mergeCell ref="F4:F5"/>
    <mergeCell ref="E4:E5"/>
    <mergeCell ref="G4:G5"/>
    <mergeCell ref="H4:H5"/>
    <mergeCell ref="A1:B1"/>
    <mergeCell ref="C1:C2"/>
    <mergeCell ref="A2:B2"/>
    <mergeCell ref="B35:D35"/>
    <mergeCell ref="B36:D36"/>
    <mergeCell ref="A37:D37"/>
    <mergeCell ref="B38:D38"/>
    <mergeCell ref="B39:D39"/>
    <mergeCell ref="B19:D19"/>
    <mergeCell ref="B20:D20"/>
    <mergeCell ref="B21:D21"/>
    <mergeCell ref="B22:D22"/>
    <mergeCell ref="B23:D23"/>
    <mergeCell ref="B24:D24"/>
    <mergeCell ref="B25:D25"/>
    <mergeCell ref="B12:D12"/>
    <mergeCell ref="B13:D13"/>
    <mergeCell ref="B14:D14"/>
    <mergeCell ref="B15:D15"/>
    <mergeCell ref="B16:D16"/>
    <mergeCell ref="B17:D17"/>
    <mergeCell ref="B18:D18"/>
    <mergeCell ref="A4:D5"/>
    <mergeCell ref="A6:D6"/>
    <mergeCell ref="A7:D7"/>
    <mergeCell ref="B8:D8"/>
    <mergeCell ref="B9:D9"/>
    <mergeCell ref="B10:D10"/>
    <mergeCell ref="B11:D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5.57"/>
    <col customWidth="1" min="4" max="4" width="9.43"/>
    <col customWidth="1" min="5" max="7" width="12.86"/>
    <col customWidth="1" min="8" max="8" width="20.14"/>
    <col customWidth="1" min="9" max="26" width="8.71"/>
  </cols>
  <sheetData>
    <row r="1" ht="34.5" customHeight="1">
      <c r="A1" s="1" t="s">
        <v>0</v>
      </c>
      <c r="B1" s="2"/>
      <c r="C1" s="5" t="s">
        <v>1</v>
      </c>
      <c r="D1" s="7" t="s">
        <v>13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10" t="s">
        <v>4</v>
      </c>
      <c r="D2" s="12" t="s">
        <v>15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/>
      <c r="B3" s="1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51.0" customHeight="1">
      <c r="A4" s="15" t="s">
        <v>16</v>
      </c>
      <c r="B4" s="16"/>
      <c r="C4" s="16"/>
      <c r="D4" s="16"/>
      <c r="E4" s="15" t="s">
        <v>21</v>
      </c>
      <c r="F4" s="17" t="s">
        <v>22</v>
      </c>
      <c r="G4" s="17" t="s">
        <v>23</v>
      </c>
      <c r="H4" s="18" t="s">
        <v>24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0" t="s">
        <v>25</v>
      </c>
      <c r="B5" s="21"/>
      <c r="C5" s="21"/>
      <c r="D5" s="21"/>
      <c r="E5" s="20" t="s">
        <v>27</v>
      </c>
      <c r="F5" s="20" t="s">
        <v>28</v>
      </c>
      <c r="G5" s="20" t="s">
        <v>29</v>
      </c>
      <c r="H5" s="20" t="s">
        <v>30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3" t="s">
        <v>74</v>
      </c>
      <c r="B6" s="25"/>
      <c r="C6" s="25"/>
      <c r="D6" s="25"/>
      <c r="E6" s="27"/>
      <c r="F6" s="27"/>
      <c r="G6" s="27"/>
      <c r="H6" s="2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8" t="s">
        <v>42</v>
      </c>
      <c r="B7" s="29" t="s">
        <v>32</v>
      </c>
      <c r="E7" s="30">
        <v>206.0</v>
      </c>
      <c r="F7" s="30">
        <v>73095.0</v>
      </c>
      <c r="G7" s="30">
        <v>4660.0</v>
      </c>
      <c r="H7" s="31">
        <f t="shared" ref="H7:H35" si="1">F7/G7</f>
        <v>15.68562232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8" t="s">
        <v>87</v>
      </c>
      <c r="B8" s="29" t="s">
        <v>35</v>
      </c>
      <c r="E8" s="30">
        <v>151.0</v>
      </c>
      <c r="F8" s="30">
        <v>65683.0</v>
      </c>
      <c r="G8" s="30">
        <v>3555.0</v>
      </c>
      <c r="H8" s="31">
        <f t="shared" si="1"/>
        <v>18.47623066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8" t="s">
        <v>96</v>
      </c>
      <c r="B9" s="29" t="s">
        <v>38</v>
      </c>
      <c r="E9" s="30">
        <v>77.0</v>
      </c>
      <c r="F9" s="30">
        <v>34481.0</v>
      </c>
      <c r="G9" s="30">
        <v>2045.0</v>
      </c>
      <c r="H9" s="31">
        <f t="shared" si="1"/>
        <v>16.86112469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8" t="s">
        <v>104</v>
      </c>
      <c r="B10" s="29" t="s">
        <v>41</v>
      </c>
      <c r="E10" s="30">
        <v>96.0</v>
      </c>
      <c r="F10" s="30">
        <v>31080.0</v>
      </c>
      <c r="G10" s="30">
        <v>1980.0</v>
      </c>
      <c r="H10" s="31">
        <f t="shared" si="1"/>
        <v>15.6969697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8" t="s">
        <v>110</v>
      </c>
      <c r="B11" s="29" t="s">
        <v>45</v>
      </c>
      <c r="E11" s="30">
        <v>112.0</v>
      </c>
      <c r="F11" s="30">
        <v>45564.0</v>
      </c>
      <c r="G11" s="30">
        <v>2750.0</v>
      </c>
      <c r="H11" s="31">
        <f t="shared" si="1"/>
        <v>16.56872727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8" t="s">
        <v>117</v>
      </c>
      <c r="B12" s="29" t="s">
        <v>48</v>
      </c>
      <c r="E12" s="30">
        <v>91.0</v>
      </c>
      <c r="F12" s="30">
        <v>29069.0</v>
      </c>
      <c r="G12" s="30">
        <v>2210.0</v>
      </c>
      <c r="H12" s="31">
        <f t="shared" si="1"/>
        <v>13.15339367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8" t="s">
        <v>127</v>
      </c>
      <c r="B13" s="29" t="s">
        <v>51</v>
      </c>
      <c r="E13" s="30">
        <v>97.0</v>
      </c>
      <c r="F13" s="30">
        <v>29994.0</v>
      </c>
      <c r="G13" s="30">
        <v>2549.0</v>
      </c>
      <c r="H13" s="31">
        <f t="shared" si="1"/>
        <v>11.76696744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8" t="s">
        <v>132</v>
      </c>
      <c r="B14" s="29" t="s">
        <v>54</v>
      </c>
      <c r="E14" s="30">
        <v>127.0</v>
      </c>
      <c r="F14" s="30">
        <v>37158.0</v>
      </c>
      <c r="G14" s="30">
        <v>2670.0</v>
      </c>
      <c r="H14" s="31">
        <f t="shared" si="1"/>
        <v>13.91685393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8" t="s">
        <v>137</v>
      </c>
      <c r="B15" s="29" t="s">
        <v>57</v>
      </c>
      <c r="E15" s="30">
        <v>90.0</v>
      </c>
      <c r="F15" s="30">
        <v>33671.0</v>
      </c>
      <c r="G15" s="30">
        <v>2317.0</v>
      </c>
      <c r="H15" s="31">
        <f t="shared" si="1"/>
        <v>14.53215365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8" t="s">
        <v>141</v>
      </c>
      <c r="B16" s="29" t="s">
        <v>60</v>
      </c>
      <c r="E16" s="30">
        <v>110.0</v>
      </c>
      <c r="F16" s="30">
        <v>46284.0</v>
      </c>
      <c r="G16" s="30">
        <v>3449.0</v>
      </c>
      <c r="H16" s="31">
        <f t="shared" si="1"/>
        <v>13.4195419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8" t="s">
        <v>142</v>
      </c>
      <c r="B17" s="29" t="s">
        <v>63</v>
      </c>
      <c r="E17" s="30">
        <v>69.0</v>
      </c>
      <c r="F17" s="30">
        <v>30069.0</v>
      </c>
      <c r="G17" s="30">
        <v>2212.0</v>
      </c>
      <c r="H17" s="31">
        <f t="shared" si="1"/>
        <v>13.59358047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8" t="s">
        <v>146</v>
      </c>
      <c r="B18" s="29" t="s">
        <v>66</v>
      </c>
      <c r="E18" s="30">
        <v>116.0</v>
      </c>
      <c r="F18" s="30">
        <v>37068.0</v>
      </c>
      <c r="G18" s="30">
        <v>3231.0</v>
      </c>
      <c r="H18" s="31">
        <f t="shared" si="1"/>
        <v>11.4726091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8" t="s">
        <v>147</v>
      </c>
      <c r="B19" s="29" t="s">
        <v>69</v>
      </c>
      <c r="E19" s="30">
        <v>78.0</v>
      </c>
      <c r="F19" s="30">
        <v>31674.0</v>
      </c>
      <c r="G19" s="30">
        <v>2333.0</v>
      </c>
      <c r="H19" s="31">
        <f t="shared" si="1"/>
        <v>13.57651093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8" t="s">
        <v>148</v>
      </c>
      <c r="B20" s="29" t="s">
        <v>72</v>
      </c>
      <c r="E20" s="30">
        <v>92.0</v>
      </c>
      <c r="F20" s="30">
        <v>35165.0</v>
      </c>
      <c r="G20" s="30">
        <v>2604.0</v>
      </c>
      <c r="H20" s="31">
        <f t="shared" si="1"/>
        <v>13.50422427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8" t="s">
        <v>149</v>
      </c>
      <c r="B21" s="29" t="s">
        <v>76</v>
      </c>
      <c r="E21" s="30">
        <v>138.0</v>
      </c>
      <c r="F21" s="30">
        <v>46878.0</v>
      </c>
      <c r="G21" s="30">
        <v>2615.0</v>
      </c>
      <c r="H21" s="31">
        <f t="shared" si="1"/>
        <v>17.92657744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8" t="s">
        <v>156</v>
      </c>
      <c r="B22" s="29" t="s">
        <v>79</v>
      </c>
      <c r="E22" s="30">
        <v>87.0</v>
      </c>
      <c r="F22" s="30">
        <v>29635.0</v>
      </c>
      <c r="G22" s="30" t="s">
        <v>159</v>
      </c>
      <c r="H22" s="31" t="str">
        <f t="shared" si="1"/>
        <v>#VALUE!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8" t="s">
        <v>160</v>
      </c>
      <c r="B23" s="29" t="s">
        <v>82</v>
      </c>
      <c r="E23" s="30">
        <v>53.0</v>
      </c>
      <c r="F23" s="30">
        <v>18563.0</v>
      </c>
      <c r="G23" s="30">
        <v>1156.0</v>
      </c>
      <c r="H23" s="31">
        <f t="shared" si="1"/>
        <v>16.05795848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8" t="s">
        <v>161</v>
      </c>
      <c r="B24" s="29" t="s">
        <v>85</v>
      </c>
      <c r="E24" s="30">
        <v>84.0</v>
      </c>
      <c r="F24" s="30">
        <v>34014.0</v>
      </c>
      <c r="G24" s="30">
        <v>2612.0</v>
      </c>
      <c r="H24" s="31">
        <f t="shared" si="1"/>
        <v>13.02220521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8" t="s">
        <v>162</v>
      </c>
      <c r="B25" s="29" t="s">
        <v>89</v>
      </c>
      <c r="E25" s="30">
        <v>50.0</v>
      </c>
      <c r="F25" s="30">
        <v>23161.0</v>
      </c>
      <c r="G25" s="30">
        <v>1419.0</v>
      </c>
      <c r="H25" s="31">
        <f t="shared" si="1"/>
        <v>16.32205779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8" t="s">
        <v>163</v>
      </c>
      <c r="B26" s="29" t="s">
        <v>92</v>
      </c>
      <c r="E26" s="30">
        <v>86.0</v>
      </c>
      <c r="F26" s="30">
        <v>30386.0</v>
      </c>
      <c r="G26" s="30">
        <v>1615.0</v>
      </c>
      <c r="H26" s="31">
        <f t="shared" si="1"/>
        <v>18.81486068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8" t="s">
        <v>164</v>
      </c>
      <c r="B27" s="29" t="s">
        <v>95</v>
      </c>
      <c r="E27" s="30">
        <v>86.0</v>
      </c>
      <c r="F27" s="30">
        <v>26283.0</v>
      </c>
      <c r="G27" s="30">
        <v>1675.0</v>
      </c>
      <c r="H27" s="31">
        <f t="shared" si="1"/>
        <v>15.69134328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8" t="s">
        <v>165</v>
      </c>
      <c r="B28" s="29" t="s">
        <v>99</v>
      </c>
      <c r="E28" s="30">
        <v>96.0</v>
      </c>
      <c r="F28" s="30">
        <v>34136.0</v>
      </c>
      <c r="G28" s="30">
        <v>2073.0</v>
      </c>
      <c r="H28" s="31">
        <f t="shared" si="1"/>
        <v>16.4669561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8" t="s">
        <v>166</v>
      </c>
      <c r="B29" s="29" t="s">
        <v>102</v>
      </c>
      <c r="E29" s="30">
        <v>73.0</v>
      </c>
      <c r="F29" s="30">
        <v>24775.0</v>
      </c>
      <c r="G29" s="30">
        <v>1544.0</v>
      </c>
      <c r="H29" s="31">
        <f t="shared" si="1"/>
        <v>16.04598446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8" t="s">
        <v>167</v>
      </c>
      <c r="B30" s="29" t="s">
        <v>106</v>
      </c>
      <c r="E30" s="30">
        <v>102.0</v>
      </c>
      <c r="F30" s="30">
        <v>33926.0</v>
      </c>
      <c r="G30" s="30">
        <v>2198.0</v>
      </c>
      <c r="H30" s="31">
        <f t="shared" si="1"/>
        <v>15.43494086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8" t="s">
        <v>168</v>
      </c>
      <c r="B31" s="29" t="s">
        <v>109</v>
      </c>
      <c r="E31" s="30">
        <v>67.0</v>
      </c>
      <c r="F31" s="30">
        <v>25554.0</v>
      </c>
      <c r="G31" s="30">
        <v>1411.0</v>
      </c>
      <c r="H31" s="31">
        <f t="shared" si="1"/>
        <v>18.11055989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8" t="s">
        <v>169</v>
      </c>
      <c r="B32" s="29" t="s">
        <v>113</v>
      </c>
      <c r="E32" s="30">
        <v>83.0</v>
      </c>
      <c r="F32" s="30">
        <v>31660.0</v>
      </c>
      <c r="G32" s="30">
        <v>1086.0</v>
      </c>
      <c r="H32" s="31">
        <f t="shared" si="1"/>
        <v>29.15285451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8" t="s">
        <v>170</v>
      </c>
      <c r="B33" s="29" t="s">
        <v>116</v>
      </c>
      <c r="E33" s="30">
        <v>120.0</v>
      </c>
      <c r="F33" s="30">
        <v>55517.0</v>
      </c>
      <c r="G33" s="30">
        <v>3391.0</v>
      </c>
      <c r="H33" s="31">
        <f t="shared" si="1"/>
        <v>16.37186671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8" t="s">
        <v>171</v>
      </c>
      <c r="B34" s="29" t="s">
        <v>120</v>
      </c>
      <c r="E34" s="30">
        <v>103.0</v>
      </c>
      <c r="F34" s="30">
        <v>46252.0</v>
      </c>
      <c r="G34" s="30">
        <v>2278.0</v>
      </c>
      <c r="H34" s="31">
        <f t="shared" si="1"/>
        <v>20.30377524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8" t="s">
        <v>172</v>
      </c>
      <c r="B35" s="29" t="s">
        <v>123</v>
      </c>
      <c r="E35" s="30">
        <v>142.0</v>
      </c>
      <c r="F35" s="30">
        <v>57662.0</v>
      </c>
      <c r="G35" s="30">
        <v>3614.0</v>
      </c>
      <c r="H35" s="31">
        <f t="shared" si="1"/>
        <v>15.95517432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6" t="s">
        <v>173</v>
      </c>
      <c r="E36" s="37"/>
      <c r="F36" s="37"/>
      <c r="G36" s="37"/>
      <c r="H36" s="31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8" t="s">
        <v>42</v>
      </c>
      <c r="B37" s="29" t="s">
        <v>54</v>
      </c>
      <c r="E37" s="30">
        <v>21.0</v>
      </c>
      <c r="F37" s="30">
        <v>7109.0</v>
      </c>
      <c r="G37" s="30">
        <v>648.0</v>
      </c>
      <c r="H37" s="31">
        <f t="shared" ref="H37:H43" si="2">F37/G37</f>
        <v>10.97067901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8" t="s">
        <v>87</v>
      </c>
      <c r="B38" s="29" t="s">
        <v>129</v>
      </c>
      <c r="E38" s="30">
        <v>75.0</v>
      </c>
      <c r="F38" s="30">
        <v>32714.0</v>
      </c>
      <c r="G38" s="30">
        <v>2426.0</v>
      </c>
      <c r="H38" s="31">
        <f t="shared" si="2"/>
        <v>13.48474856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8" t="s">
        <v>96</v>
      </c>
      <c r="B39" s="29" t="s">
        <v>133</v>
      </c>
      <c r="E39" s="30">
        <v>23.0</v>
      </c>
      <c r="F39" s="30">
        <v>8913.0</v>
      </c>
      <c r="G39" s="30">
        <v>636.0</v>
      </c>
      <c r="H39" s="31">
        <f t="shared" si="2"/>
        <v>14.01415094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8" t="s">
        <v>104</v>
      </c>
      <c r="B40" s="29" t="s">
        <v>99</v>
      </c>
      <c r="E40" s="30">
        <v>181.0</v>
      </c>
      <c r="F40" s="30">
        <v>65935.0</v>
      </c>
      <c r="G40" s="30">
        <v>4504.0</v>
      </c>
      <c r="H40" s="31">
        <f t="shared" si="2"/>
        <v>14.63920959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8" t="s">
        <v>110</v>
      </c>
      <c r="B41" s="29" t="s">
        <v>113</v>
      </c>
      <c r="E41" s="30">
        <v>27.0</v>
      </c>
      <c r="F41" s="30">
        <v>12364.0</v>
      </c>
      <c r="G41" s="30">
        <v>742.0</v>
      </c>
      <c r="H41" s="31">
        <f t="shared" si="2"/>
        <v>16.66307278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8" t="s">
        <v>117</v>
      </c>
      <c r="B42" s="29" t="s">
        <v>120</v>
      </c>
      <c r="E42" s="30">
        <v>35.0</v>
      </c>
      <c r="F42" s="30">
        <v>13440.0</v>
      </c>
      <c r="G42" s="30">
        <v>812.0</v>
      </c>
      <c r="H42" s="31">
        <f t="shared" si="2"/>
        <v>16.55172414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2" t="s">
        <v>145</v>
      </c>
      <c r="B43" s="44"/>
      <c r="C43" s="44"/>
      <c r="D43" s="44"/>
      <c r="E43" s="46">
        <f t="shared" ref="E43:G43" si="3">SUM(E7:E42)</f>
        <v>3244</v>
      </c>
      <c r="F43" s="46">
        <f t="shared" si="3"/>
        <v>1218932</v>
      </c>
      <c r="G43" s="46">
        <f t="shared" si="3"/>
        <v>77020</v>
      </c>
      <c r="H43" s="48">
        <f t="shared" si="2"/>
        <v>15.82617502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7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.75" customHeight="1">
      <c r="A45" s="29" t="s">
        <v>154</v>
      </c>
      <c r="C45" s="29" t="s">
        <v>155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.75" customHeight="1">
      <c r="A46" s="50" t="s">
        <v>157</v>
      </c>
      <c r="C46" s="50" t="s">
        <v>158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9">
    <mergeCell ref="B39:D39"/>
    <mergeCell ref="B30:D30"/>
    <mergeCell ref="B41:D41"/>
    <mergeCell ref="B42:D42"/>
    <mergeCell ref="C45:H45"/>
    <mergeCell ref="C46:H46"/>
    <mergeCell ref="B40:D40"/>
    <mergeCell ref="B31:D31"/>
    <mergeCell ref="B35:D35"/>
    <mergeCell ref="B34:D34"/>
    <mergeCell ref="B33:D33"/>
    <mergeCell ref="B28:D28"/>
    <mergeCell ref="B32:D32"/>
    <mergeCell ref="B29:D29"/>
    <mergeCell ref="A2:B2"/>
    <mergeCell ref="A1:B1"/>
    <mergeCell ref="D1:H1"/>
    <mergeCell ref="D2:H2"/>
    <mergeCell ref="B10:D10"/>
    <mergeCell ref="A4:D4"/>
    <mergeCell ref="A5:D5"/>
    <mergeCell ref="B9:D9"/>
    <mergeCell ref="A6:D6"/>
    <mergeCell ref="B7:D7"/>
    <mergeCell ref="C1:C2"/>
    <mergeCell ref="B8:D8"/>
    <mergeCell ref="A45:B45"/>
    <mergeCell ref="A46:B46"/>
    <mergeCell ref="A43:D43"/>
    <mergeCell ref="B38:D38"/>
    <mergeCell ref="A36:D36"/>
    <mergeCell ref="B37:D37"/>
    <mergeCell ref="B19:D19"/>
    <mergeCell ref="B20:D20"/>
    <mergeCell ref="B21:D21"/>
    <mergeCell ref="B22:D22"/>
    <mergeCell ref="B16:D16"/>
    <mergeCell ref="B17:D17"/>
    <mergeCell ref="B11:D11"/>
    <mergeCell ref="B12:D12"/>
    <mergeCell ref="B13:D13"/>
    <mergeCell ref="B14:D14"/>
    <mergeCell ref="B15:D15"/>
    <mergeCell ref="B18:D18"/>
    <mergeCell ref="B27:D27"/>
    <mergeCell ref="B26:D26"/>
    <mergeCell ref="B24:D24"/>
    <mergeCell ref="B25:D25"/>
    <mergeCell ref="B23:D23"/>
  </mergeCells>
  <printOptions/>
  <pageMargins bottom="0.7874015748031497" footer="0.0" header="0.0" left="0.7874015748031497" right="0.5905511811023623" top="0.7874015748031497"/>
  <pageSetup paperSize="11" scale="67" orientation="portrait"/>
  <headerFooter>
    <oddHeader>&amp;RSOSIAL</oddHeader>
    <oddFooter>&amp;RProvinsi Sulawesi Selatan Dalam Angka 2015  |  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2"/>
      <c r="C1" s="4" t="s">
        <v>1</v>
      </c>
      <c r="D1" s="4" t="s">
        <v>175</v>
      </c>
    </row>
    <row r="2">
      <c r="A2" s="4" t="s">
        <v>4</v>
      </c>
      <c r="D2" s="4" t="s">
        <v>176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9" t="s">
        <v>7</v>
      </c>
      <c r="B4" s="11"/>
      <c r="C4" s="11"/>
      <c r="D4" s="11"/>
      <c r="E4" s="9" t="s">
        <v>9</v>
      </c>
      <c r="F4" s="9" t="s">
        <v>10</v>
      </c>
      <c r="G4" s="9" t="s">
        <v>11</v>
      </c>
      <c r="H4" s="9" t="s">
        <v>12</v>
      </c>
    </row>
    <row r="5">
      <c r="A5" s="2"/>
      <c r="B5" s="2"/>
      <c r="C5" s="2"/>
      <c r="D5" s="2"/>
      <c r="E5" s="2"/>
      <c r="F5" s="2"/>
      <c r="G5" s="2"/>
      <c r="H5" s="2"/>
    </row>
    <row r="6">
      <c r="A6" s="14">
        <v>-1.0</v>
      </c>
      <c r="B6" s="19"/>
      <c r="C6" s="19"/>
      <c r="D6" s="19"/>
      <c r="E6" s="14">
        <v>-2.0</v>
      </c>
      <c r="F6" s="14">
        <v>-3.0</v>
      </c>
      <c r="G6" s="14">
        <v>-4.0</v>
      </c>
      <c r="H6" s="14">
        <v>-5.0</v>
      </c>
    </row>
    <row r="7">
      <c r="A7" s="22" t="s">
        <v>26</v>
      </c>
      <c r="B7" s="24"/>
      <c r="C7" s="24"/>
      <c r="D7" s="24"/>
      <c r="E7" s="6"/>
      <c r="F7" s="6"/>
      <c r="G7" s="6"/>
      <c r="H7" s="6"/>
    </row>
    <row r="8">
      <c r="A8" s="4">
        <v>1.0</v>
      </c>
      <c r="B8" s="4" t="s">
        <v>32</v>
      </c>
      <c r="E8" s="26">
        <v>206.0</v>
      </c>
      <c r="F8" s="4" t="s">
        <v>177</v>
      </c>
      <c r="G8" s="4" t="s">
        <v>178</v>
      </c>
      <c r="H8" s="26">
        <v>16.0</v>
      </c>
    </row>
    <row r="9">
      <c r="A9" s="4">
        <v>2.0</v>
      </c>
      <c r="B9" s="4" t="s">
        <v>35</v>
      </c>
      <c r="E9" s="26">
        <v>151.0</v>
      </c>
      <c r="F9" s="4" t="s">
        <v>179</v>
      </c>
      <c r="G9" s="4" t="s">
        <v>180</v>
      </c>
      <c r="H9" s="26">
        <v>18.0</v>
      </c>
    </row>
    <row r="10">
      <c r="A10" s="4">
        <v>3.0</v>
      </c>
      <c r="B10" s="4" t="s">
        <v>38</v>
      </c>
      <c r="E10" s="26">
        <v>77.0</v>
      </c>
      <c r="F10" s="4" t="s">
        <v>181</v>
      </c>
      <c r="G10" s="4" t="s">
        <v>182</v>
      </c>
      <c r="H10" s="26">
        <v>17.0</v>
      </c>
    </row>
    <row r="11">
      <c r="A11" s="4">
        <v>4.0</v>
      </c>
      <c r="B11" s="4" t="s">
        <v>41</v>
      </c>
      <c r="E11" s="26">
        <v>96.0</v>
      </c>
      <c r="F11" s="4" t="s">
        <v>183</v>
      </c>
      <c r="G11" s="4" t="s">
        <v>184</v>
      </c>
      <c r="H11" s="26">
        <v>16.0</v>
      </c>
    </row>
    <row r="12">
      <c r="A12" s="4">
        <v>5.0</v>
      </c>
      <c r="B12" s="4" t="s">
        <v>45</v>
      </c>
      <c r="E12" s="26">
        <v>112.0</v>
      </c>
      <c r="F12" s="4" t="s">
        <v>185</v>
      </c>
      <c r="G12" s="4" t="s">
        <v>186</v>
      </c>
      <c r="H12" s="26">
        <v>17.0</v>
      </c>
    </row>
    <row r="13">
      <c r="A13" s="4">
        <v>6.0</v>
      </c>
      <c r="B13" s="4" t="s">
        <v>48</v>
      </c>
      <c r="E13" s="26">
        <v>91.0</v>
      </c>
      <c r="F13" s="4" t="s">
        <v>187</v>
      </c>
      <c r="G13" s="4" t="s">
        <v>188</v>
      </c>
      <c r="H13" s="26">
        <v>13.0</v>
      </c>
    </row>
    <row r="14">
      <c r="A14" s="4">
        <v>7.0</v>
      </c>
      <c r="B14" s="4" t="s">
        <v>51</v>
      </c>
      <c r="E14" s="26">
        <v>97.0</v>
      </c>
      <c r="F14" s="4" t="s">
        <v>189</v>
      </c>
      <c r="G14" s="4" t="s">
        <v>190</v>
      </c>
      <c r="H14" s="26">
        <v>12.0</v>
      </c>
    </row>
    <row r="15">
      <c r="A15" s="4">
        <v>8.0</v>
      </c>
      <c r="B15" s="4" t="s">
        <v>54</v>
      </c>
      <c r="E15" s="26">
        <v>127.0</v>
      </c>
      <c r="F15" s="4" t="s">
        <v>191</v>
      </c>
      <c r="G15" s="4" t="s">
        <v>192</v>
      </c>
      <c r="H15" s="26">
        <v>14.0</v>
      </c>
    </row>
    <row r="16">
      <c r="A16" s="4">
        <v>9.0</v>
      </c>
      <c r="B16" s="4" t="s">
        <v>57</v>
      </c>
      <c r="E16" s="26">
        <v>90.0</v>
      </c>
      <c r="F16" s="4" t="s">
        <v>193</v>
      </c>
      <c r="G16" s="4" t="s">
        <v>194</v>
      </c>
      <c r="H16" s="26">
        <v>15.0</v>
      </c>
    </row>
    <row r="17">
      <c r="A17" s="4">
        <v>10.0</v>
      </c>
      <c r="B17" s="4" t="s">
        <v>60</v>
      </c>
      <c r="E17" s="26">
        <v>110.0</v>
      </c>
      <c r="F17" s="4" t="s">
        <v>195</v>
      </c>
      <c r="G17" s="4" t="s">
        <v>196</v>
      </c>
      <c r="H17" s="26">
        <v>13.0</v>
      </c>
    </row>
    <row r="18">
      <c r="A18" s="4">
        <v>11.0</v>
      </c>
      <c r="B18" s="4" t="s">
        <v>63</v>
      </c>
      <c r="E18" s="26">
        <v>69.0</v>
      </c>
      <c r="F18" s="4" t="s">
        <v>197</v>
      </c>
      <c r="G18" s="4" t="s">
        <v>198</v>
      </c>
      <c r="H18" s="26">
        <v>14.0</v>
      </c>
    </row>
    <row r="19">
      <c r="A19" s="4">
        <v>12.0</v>
      </c>
      <c r="B19" s="4" t="s">
        <v>66</v>
      </c>
      <c r="E19" s="26">
        <v>116.0</v>
      </c>
      <c r="F19" s="4" t="s">
        <v>199</v>
      </c>
      <c r="G19" s="4" t="s">
        <v>200</v>
      </c>
      <c r="H19" s="26">
        <v>11.0</v>
      </c>
    </row>
    <row r="20">
      <c r="A20" s="4">
        <v>13.0</v>
      </c>
      <c r="B20" s="4" t="s">
        <v>69</v>
      </c>
      <c r="E20" s="26">
        <v>78.0</v>
      </c>
      <c r="F20" s="4" t="s">
        <v>201</v>
      </c>
      <c r="G20" s="4" t="s">
        <v>202</v>
      </c>
      <c r="H20" s="26">
        <v>14.0</v>
      </c>
    </row>
    <row r="21">
      <c r="A21" s="4">
        <v>14.0</v>
      </c>
      <c r="B21" s="4" t="s">
        <v>72</v>
      </c>
      <c r="E21" s="26">
        <v>92.0</v>
      </c>
      <c r="F21" s="4" t="s">
        <v>203</v>
      </c>
      <c r="G21" s="4" t="s">
        <v>204</v>
      </c>
      <c r="H21" s="26">
        <v>14.0</v>
      </c>
    </row>
    <row r="22">
      <c r="A22" s="4">
        <v>15.0</v>
      </c>
      <c r="B22" s="4" t="s">
        <v>76</v>
      </c>
      <c r="E22" s="26">
        <v>138.0</v>
      </c>
      <c r="F22" s="4" t="s">
        <v>205</v>
      </c>
      <c r="G22" s="4" t="s">
        <v>206</v>
      </c>
      <c r="H22" s="26">
        <v>18.0</v>
      </c>
    </row>
    <row r="23">
      <c r="A23" s="4">
        <v>16.0</v>
      </c>
      <c r="B23" s="4" t="s">
        <v>79</v>
      </c>
      <c r="E23" s="26">
        <v>87.0</v>
      </c>
      <c r="F23" s="4" t="s">
        <v>207</v>
      </c>
      <c r="G23" s="4" t="s">
        <v>208</v>
      </c>
      <c r="H23" s="4">
        <v>15.0</v>
      </c>
    </row>
    <row r="24">
      <c r="A24" s="4">
        <v>17.0</v>
      </c>
      <c r="B24" s="4" t="s">
        <v>82</v>
      </c>
      <c r="E24" s="26">
        <v>53.0</v>
      </c>
      <c r="F24" s="4" t="s">
        <v>209</v>
      </c>
      <c r="G24" s="4" t="s">
        <v>210</v>
      </c>
      <c r="H24" s="26">
        <v>16.0</v>
      </c>
    </row>
    <row r="25">
      <c r="A25" s="4">
        <v>18.0</v>
      </c>
      <c r="B25" s="4" t="s">
        <v>85</v>
      </c>
      <c r="E25" s="26">
        <v>84.0</v>
      </c>
      <c r="F25" s="4" t="s">
        <v>211</v>
      </c>
      <c r="G25" s="4" t="s">
        <v>212</v>
      </c>
      <c r="H25" s="26">
        <v>13.0</v>
      </c>
    </row>
    <row r="26">
      <c r="A26" s="4">
        <v>19.0</v>
      </c>
      <c r="B26" s="4" t="s">
        <v>89</v>
      </c>
      <c r="E26" s="26">
        <v>50.0</v>
      </c>
      <c r="F26" s="4" t="s">
        <v>213</v>
      </c>
      <c r="G26" s="4" t="s">
        <v>214</v>
      </c>
      <c r="H26" s="26">
        <v>16.0</v>
      </c>
    </row>
    <row r="27">
      <c r="A27" s="4">
        <v>20.0</v>
      </c>
      <c r="B27" s="4" t="s">
        <v>92</v>
      </c>
      <c r="E27" s="26">
        <v>86.0</v>
      </c>
      <c r="F27" s="4" t="s">
        <v>215</v>
      </c>
      <c r="G27" s="4" t="s">
        <v>216</v>
      </c>
      <c r="H27" s="26">
        <v>19.0</v>
      </c>
    </row>
    <row r="28">
      <c r="A28" s="4">
        <v>21.0</v>
      </c>
      <c r="B28" s="4" t="s">
        <v>95</v>
      </c>
      <c r="E28" s="26">
        <v>86.0</v>
      </c>
      <c r="F28" s="4" t="s">
        <v>217</v>
      </c>
      <c r="G28" s="4" t="s">
        <v>218</v>
      </c>
      <c r="H28" s="26">
        <v>16.0</v>
      </c>
    </row>
    <row r="29">
      <c r="A29" s="4">
        <v>22.0</v>
      </c>
      <c r="B29" s="4" t="s">
        <v>99</v>
      </c>
      <c r="E29" s="26">
        <v>96.0</v>
      </c>
      <c r="F29" s="4" t="s">
        <v>219</v>
      </c>
      <c r="G29" s="4" t="s">
        <v>220</v>
      </c>
      <c r="H29" s="26">
        <v>16.0</v>
      </c>
    </row>
    <row r="30">
      <c r="A30" s="4">
        <v>23.0</v>
      </c>
      <c r="B30" s="4" t="s">
        <v>102</v>
      </c>
      <c r="E30" s="26">
        <v>73.0</v>
      </c>
      <c r="F30" s="4" t="s">
        <v>221</v>
      </c>
      <c r="G30" s="4" t="s">
        <v>222</v>
      </c>
      <c r="H30" s="26">
        <v>16.0</v>
      </c>
    </row>
    <row r="31">
      <c r="A31" s="4">
        <v>24.0</v>
      </c>
      <c r="B31" s="4" t="s">
        <v>106</v>
      </c>
      <c r="E31" s="26">
        <v>102.0</v>
      </c>
      <c r="F31" s="4" t="s">
        <v>223</v>
      </c>
      <c r="G31" s="4" t="s">
        <v>224</v>
      </c>
      <c r="H31" s="26">
        <v>15.0</v>
      </c>
    </row>
    <row r="32">
      <c r="A32" s="4">
        <v>25.0</v>
      </c>
      <c r="B32" s="4" t="s">
        <v>109</v>
      </c>
      <c r="E32" s="26">
        <v>67.0</v>
      </c>
      <c r="F32" s="4" t="s">
        <v>225</v>
      </c>
      <c r="G32" s="4" t="s">
        <v>226</v>
      </c>
      <c r="H32" s="26">
        <v>18.0</v>
      </c>
    </row>
    <row r="33">
      <c r="A33" s="4">
        <v>26.0</v>
      </c>
      <c r="B33" s="4" t="s">
        <v>113</v>
      </c>
      <c r="E33" s="26">
        <v>83.0</v>
      </c>
      <c r="F33" s="4" t="s">
        <v>227</v>
      </c>
      <c r="G33" s="4" t="s">
        <v>228</v>
      </c>
      <c r="H33" s="26">
        <v>29.0</v>
      </c>
    </row>
    <row r="34">
      <c r="A34" s="4">
        <v>27.0</v>
      </c>
      <c r="B34" s="4" t="s">
        <v>116</v>
      </c>
      <c r="E34" s="26">
        <v>120.0</v>
      </c>
      <c r="F34" s="4" t="s">
        <v>229</v>
      </c>
      <c r="G34" s="4" t="s">
        <v>230</v>
      </c>
      <c r="H34" s="26">
        <v>16.0</v>
      </c>
    </row>
    <row r="35">
      <c r="A35" s="4">
        <v>28.0</v>
      </c>
      <c r="B35" s="4" t="s">
        <v>120</v>
      </c>
      <c r="E35" s="26">
        <v>103.0</v>
      </c>
      <c r="F35" s="4" t="s">
        <v>231</v>
      </c>
      <c r="G35" s="4" t="s">
        <v>232</v>
      </c>
      <c r="H35" s="26">
        <v>20.0</v>
      </c>
    </row>
    <row r="36">
      <c r="A36" s="4">
        <v>29.0</v>
      </c>
      <c r="B36" s="4" t="s">
        <v>123</v>
      </c>
      <c r="E36" s="26">
        <v>142.0</v>
      </c>
      <c r="F36" s="4" t="s">
        <v>233</v>
      </c>
      <c r="G36" s="4" t="s">
        <v>234</v>
      </c>
      <c r="H36" s="26">
        <v>16.0</v>
      </c>
    </row>
    <row r="37">
      <c r="A37" s="4" t="s">
        <v>126</v>
      </c>
      <c r="E37" s="6"/>
      <c r="F37" s="6"/>
      <c r="G37" s="6"/>
      <c r="H37" s="6"/>
    </row>
    <row r="38">
      <c r="A38" s="4">
        <v>1.0</v>
      </c>
      <c r="B38" s="4" t="s">
        <v>54</v>
      </c>
      <c r="E38" s="26">
        <v>21.0</v>
      </c>
      <c r="F38" s="4" t="s">
        <v>235</v>
      </c>
      <c r="G38" s="4">
        <v>648.0</v>
      </c>
      <c r="H38" s="26">
        <v>11.0</v>
      </c>
    </row>
    <row r="39">
      <c r="A39" s="4">
        <v>2.0</v>
      </c>
      <c r="B39" s="4" t="s">
        <v>129</v>
      </c>
      <c r="E39" s="26">
        <v>75.0</v>
      </c>
      <c r="F39" s="4" t="s">
        <v>236</v>
      </c>
      <c r="G39" s="4" t="s">
        <v>237</v>
      </c>
      <c r="H39" s="26">
        <v>13.0</v>
      </c>
    </row>
    <row r="40">
      <c r="A40" s="4">
        <v>3.0</v>
      </c>
      <c r="B40" s="4" t="s">
        <v>133</v>
      </c>
      <c r="E40" s="26">
        <v>23.0</v>
      </c>
      <c r="F40" s="4" t="s">
        <v>238</v>
      </c>
      <c r="G40" s="4">
        <v>636.0</v>
      </c>
      <c r="H40" s="26">
        <v>14.0</v>
      </c>
    </row>
    <row r="41">
      <c r="A41" s="4">
        <v>4.0</v>
      </c>
      <c r="B41" s="4" t="s">
        <v>99</v>
      </c>
      <c r="E41" s="26">
        <v>181.0</v>
      </c>
      <c r="F41" s="4" t="s">
        <v>239</v>
      </c>
      <c r="G41" s="4" t="s">
        <v>240</v>
      </c>
      <c r="H41" s="26">
        <v>15.0</v>
      </c>
    </row>
    <row r="42">
      <c r="A42" s="4">
        <v>5.0</v>
      </c>
      <c r="B42" s="4" t="s">
        <v>113</v>
      </c>
      <c r="E42" s="26">
        <v>27.0</v>
      </c>
      <c r="F42" s="4" t="s">
        <v>241</v>
      </c>
      <c r="G42" s="4">
        <v>742.0</v>
      </c>
      <c r="H42" s="26">
        <v>17.0</v>
      </c>
    </row>
    <row r="43">
      <c r="A43" s="3">
        <v>6.0</v>
      </c>
      <c r="B43" s="3" t="s">
        <v>120</v>
      </c>
      <c r="C43" s="2"/>
      <c r="D43" s="2"/>
      <c r="E43" s="32">
        <v>35.0</v>
      </c>
      <c r="F43" s="3" t="s">
        <v>242</v>
      </c>
      <c r="G43" s="3">
        <v>812.0</v>
      </c>
      <c r="H43" s="32">
        <v>17.0</v>
      </c>
    </row>
    <row r="44">
      <c r="A44" s="33" t="s">
        <v>145</v>
      </c>
      <c r="B44" s="34"/>
      <c r="C44" s="34"/>
      <c r="D44" s="34"/>
      <c r="E44" s="33">
        <v>3182.0</v>
      </c>
      <c r="F44" s="33">
        <v>1193128.0</v>
      </c>
      <c r="G44" s="33">
        <v>77419.0</v>
      </c>
      <c r="H44" s="33" t="s">
        <v>243</v>
      </c>
    </row>
    <row r="45">
      <c r="A45" s="4" t="s">
        <v>154</v>
      </c>
      <c r="C45" s="4" t="s">
        <v>155</v>
      </c>
    </row>
    <row r="46">
      <c r="A46" s="4" t="s">
        <v>157</v>
      </c>
      <c r="C46" s="4" t="s">
        <v>158</v>
      </c>
    </row>
  </sheetData>
  <mergeCells count="53">
    <mergeCell ref="B29:D29"/>
    <mergeCell ref="B30:D30"/>
    <mergeCell ref="B31:D31"/>
    <mergeCell ref="B32:D32"/>
    <mergeCell ref="B33:D33"/>
    <mergeCell ref="B34:D34"/>
    <mergeCell ref="B26:D26"/>
    <mergeCell ref="B27:D27"/>
    <mergeCell ref="B28:D28"/>
    <mergeCell ref="A45:B45"/>
    <mergeCell ref="C45:H45"/>
    <mergeCell ref="A46:B46"/>
    <mergeCell ref="C46:H46"/>
    <mergeCell ref="B40:D40"/>
    <mergeCell ref="B41:D41"/>
    <mergeCell ref="B42:D42"/>
    <mergeCell ref="B43:D43"/>
    <mergeCell ref="A44:D44"/>
    <mergeCell ref="D1:H1"/>
    <mergeCell ref="D2:H2"/>
    <mergeCell ref="F4:F5"/>
    <mergeCell ref="E4:E5"/>
    <mergeCell ref="G4:G5"/>
    <mergeCell ref="H4:H5"/>
    <mergeCell ref="A1:B1"/>
    <mergeCell ref="C1:C2"/>
    <mergeCell ref="A2:B2"/>
    <mergeCell ref="B35:D35"/>
    <mergeCell ref="B36:D36"/>
    <mergeCell ref="A37:D37"/>
    <mergeCell ref="B38:D38"/>
    <mergeCell ref="B39:D39"/>
    <mergeCell ref="B19:D19"/>
    <mergeCell ref="B20:D20"/>
    <mergeCell ref="B21:D21"/>
    <mergeCell ref="B22:D22"/>
    <mergeCell ref="B23:D23"/>
    <mergeCell ref="B24:D24"/>
    <mergeCell ref="B25:D25"/>
    <mergeCell ref="B12:D12"/>
    <mergeCell ref="B13:D13"/>
    <mergeCell ref="B14:D14"/>
    <mergeCell ref="B15:D15"/>
    <mergeCell ref="B16:D16"/>
    <mergeCell ref="B17:D17"/>
    <mergeCell ref="B18:D18"/>
    <mergeCell ref="A4:D5"/>
    <mergeCell ref="A6:D6"/>
    <mergeCell ref="A7:D7"/>
    <mergeCell ref="B8:D8"/>
    <mergeCell ref="B9:D9"/>
    <mergeCell ref="B10:D10"/>
    <mergeCell ref="B11:D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.71"/>
    <col customWidth="1" min="3" max="3" width="6.57"/>
    <col customWidth="1" min="4" max="4" width="9.43"/>
    <col customWidth="1" min="5" max="7" width="11.43"/>
    <col customWidth="1" min="8" max="8" width="19.71"/>
    <col customWidth="1" min="9" max="26" width="8.71"/>
  </cols>
  <sheetData>
    <row r="1" ht="34.5" customHeight="1">
      <c r="A1" s="1" t="s">
        <v>0</v>
      </c>
      <c r="B1" s="2"/>
      <c r="C1" s="5" t="s">
        <v>244</v>
      </c>
      <c r="D1" s="7" t="s">
        <v>245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4.5" customHeight="1">
      <c r="A2" s="10" t="s">
        <v>4</v>
      </c>
      <c r="D2" s="12" t="s">
        <v>246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/>
      <c r="B3" s="13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51.0" customHeight="1">
      <c r="A4" s="15" t="s">
        <v>247</v>
      </c>
      <c r="B4" s="16"/>
      <c r="C4" s="16"/>
      <c r="D4" s="16"/>
      <c r="E4" s="15" t="s">
        <v>248</v>
      </c>
      <c r="F4" s="17" t="s">
        <v>249</v>
      </c>
      <c r="G4" s="17" t="s">
        <v>250</v>
      </c>
      <c r="H4" s="18" t="s">
        <v>251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0" t="s">
        <v>25</v>
      </c>
      <c r="B5" s="21"/>
      <c r="C5" s="21"/>
      <c r="D5" s="21"/>
      <c r="E5" s="20" t="s">
        <v>27</v>
      </c>
      <c r="F5" s="20" t="s">
        <v>28</v>
      </c>
      <c r="G5" s="20" t="s">
        <v>29</v>
      </c>
      <c r="H5" s="20" t="s">
        <v>30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3" t="s">
        <v>252</v>
      </c>
      <c r="B6" s="25"/>
      <c r="C6" s="25"/>
      <c r="D6" s="25"/>
      <c r="E6" s="27"/>
      <c r="F6" s="27"/>
      <c r="G6" s="27"/>
      <c r="H6" s="2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8" t="s">
        <v>42</v>
      </c>
      <c r="B7" s="29" t="s">
        <v>32</v>
      </c>
      <c r="E7" s="30">
        <v>41.0</v>
      </c>
      <c r="F7" s="30">
        <v>16440.0</v>
      </c>
      <c r="G7" s="30">
        <v>1300.0</v>
      </c>
      <c r="H7" s="31">
        <f t="shared" ref="H7:H35" si="1">F7/G7</f>
        <v>12.64615385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8" t="s">
        <v>87</v>
      </c>
      <c r="B8" s="29" t="s">
        <v>35</v>
      </c>
      <c r="E8" s="30">
        <v>37.0</v>
      </c>
      <c r="F8" s="30">
        <v>16264.0</v>
      </c>
      <c r="G8" s="30">
        <v>1237.0</v>
      </c>
      <c r="H8" s="31">
        <f t="shared" si="1"/>
        <v>13.14793856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8" t="s">
        <v>96</v>
      </c>
      <c r="B9" s="29" t="s">
        <v>38</v>
      </c>
      <c r="E9" s="30">
        <v>16.0</v>
      </c>
      <c r="F9" s="30">
        <v>7173.0</v>
      </c>
      <c r="G9" s="30">
        <v>590.0</v>
      </c>
      <c r="H9" s="31">
        <f t="shared" si="1"/>
        <v>12.15762712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8" t="s">
        <v>104</v>
      </c>
      <c r="B10" s="29" t="s">
        <v>41</v>
      </c>
      <c r="E10" s="30">
        <v>13.0</v>
      </c>
      <c r="F10" s="30">
        <v>6456.0</v>
      </c>
      <c r="G10" s="30">
        <v>492.0</v>
      </c>
      <c r="H10" s="31">
        <f t="shared" si="1"/>
        <v>13.12195122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8" t="s">
        <v>110</v>
      </c>
      <c r="B11" s="29" t="s">
        <v>45</v>
      </c>
      <c r="E11" s="30">
        <v>25.0</v>
      </c>
      <c r="F11" s="30">
        <v>10025.0</v>
      </c>
      <c r="G11" s="30">
        <v>791.0</v>
      </c>
      <c r="H11" s="31">
        <f t="shared" si="1"/>
        <v>12.67383059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8" t="s">
        <v>117</v>
      </c>
      <c r="B12" s="29" t="s">
        <v>48</v>
      </c>
      <c r="E12" s="30">
        <v>23.0</v>
      </c>
      <c r="F12" s="30">
        <v>8112.0</v>
      </c>
      <c r="G12" s="30">
        <v>778.0</v>
      </c>
      <c r="H12" s="31">
        <f t="shared" si="1"/>
        <v>10.42673522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8" t="s">
        <v>127</v>
      </c>
      <c r="B13" s="29" t="s">
        <v>51</v>
      </c>
      <c r="E13" s="30">
        <v>17.0</v>
      </c>
      <c r="F13" s="30">
        <v>6961.0</v>
      </c>
      <c r="G13" s="30">
        <v>588.0</v>
      </c>
      <c r="H13" s="31">
        <f t="shared" si="1"/>
        <v>11.83843537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8" t="s">
        <v>132</v>
      </c>
      <c r="B14" s="29" t="s">
        <v>54</v>
      </c>
      <c r="E14" s="30">
        <v>35.0</v>
      </c>
      <c r="F14" s="30">
        <v>10826.0</v>
      </c>
      <c r="G14" s="30">
        <v>1042.0</v>
      </c>
      <c r="H14" s="31">
        <f t="shared" si="1"/>
        <v>10.38963532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8" t="s">
        <v>137</v>
      </c>
      <c r="B15" s="29" t="s">
        <v>57</v>
      </c>
      <c r="E15" s="30">
        <v>32.0</v>
      </c>
      <c r="F15" s="30">
        <v>10338.0</v>
      </c>
      <c r="G15" s="30">
        <v>989.0</v>
      </c>
      <c r="H15" s="31">
        <f t="shared" si="1"/>
        <v>10.45298281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8" t="s">
        <v>141</v>
      </c>
      <c r="B16" s="29" t="s">
        <v>60</v>
      </c>
      <c r="E16" s="30">
        <v>28.0</v>
      </c>
      <c r="F16" s="30">
        <v>10692.0</v>
      </c>
      <c r="G16" s="30">
        <v>1188.0</v>
      </c>
      <c r="H16" s="31">
        <f t="shared" si="1"/>
        <v>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8" t="s">
        <v>142</v>
      </c>
      <c r="B17" s="29" t="s">
        <v>63</v>
      </c>
      <c r="E17" s="30">
        <v>27.0</v>
      </c>
      <c r="F17" s="30">
        <v>11371.0</v>
      </c>
      <c r="G17" s="30">
        <v>1027.0</v>
      </c>
      <c r="H17" s="31">
        <f t="shared" si="1"/>
        <v>11.07205453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8" t="s">
        <v>146</v>
      </c>
      <c r="B18" s="29" t="s">
        <v>66</v>
      </c>
      <c r="E18" s="30">
        <v>21.0</v>
      </c>
      <c r="F18" s="30">
        <v>8911.0</v>
      </c>
      <c r="G18" s="30">
        <v>805.0</v>
      </c>
      <c r="H18" s="31">
        <f t="shared" si="1"/>
        <v>11.06956522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8" t="s">
        <v>147</v>
      </c>
      <c r="B19" s="29" t="s">
        <v>69</v>
      </c>
      <c r="E19" s="30">
        <v>14.0</v>
      </c>
      <c r="F19" s="30">
        <v>9432.0</v>
      </c>
      <c r="G19" s="30">
        <v>568.0</v>
      </c>
      <c r="H19" s="31">
        <f t="shared" si="1"/>
        <v>16.6056338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8" t="s">
        <v>148</v>
      </c>
      <c r="B20" s="29" t="s">
        <v>72</v>
      </c>
      <c r="E20" s="30">
        <v>25.0</v>
      </c>
      <c r="F20" s="30">
        <v>9053.0</v>
      </c>
      <c r="G20" s="30">
        <v>859.0</v>
      </c>
      <c r="H20" s="31">
        <f t="shared" si="1"/>
        <v>10.53899884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8" t="s">
        <v>149</v>
      </c>
      <c r="B21" s="29" t="s">
        <v>76</v>
      </c>
      <c r="E21" s="30">
        <v>36.0</v>
      </c>
      <c r="F21" s="30">
        <v>15348.0</v>
      </c>
      <c r="G21" s="30">
        <v>668.0</v>
      </c>
      <c r="H21" s="31">
        <f t="shared" si="1"/>
        <v>22.9760479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8" t="s">
        <v>156</v>
      </c>
      <c r="B22" s="29" t="s">
        <v>79</v>
      </c>
      <c r="E22" s="30">
        <v>22.0</v>
      </c>
      <c r="F22" s="30">
        <v>8019.0</v>
      </c>
      <c r="G22" s="30" t="s">
        <v>159</v>
      </c>
      <c r="H22" s="31" t="str">
        <f t="shared" si="1"/>
        <v>#VALUE!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8" t="s">
        <v>160</v>
      </c>
      <c r="B23" s="29" t="s">
        <v>82</v>
      </c>
      <c r="E23" s="30">
        <v>14.0</v>
      </c>
      <c r="F23" s="30">
        <v>7287.0</v>
      </c>
      <c r="G23" s="30">
        <v>496.0</v>
      </c>
      <c r="H23" s="31">
        <f t="shared" si="1"/>
        <v>14.69153226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8" t="s">
        <v>161</v>
      </c>
      <c r="B24" s="29" t="s">
        <v>85</v>
      </c>
      <c r="E24" s="30">
        <v>26.0</v>
      </c>
      <c r="F24" s="30">
        <v>12430.0</v>
      </c>
      <c r="G24" s="30">
        <v>1060.0</v>
      </c>
      <c r="H24" s="31">
        <f t="shared" si="1"/>
        <v>11.72641509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8" t="s">
        <v>162</v>
      </c>
      <c r="B25" s="29" t="s">
        <v>89</v>
      </c>
      <c r="E25" s="30">
        <v>17.0</v>
      </c>
      <c r="F25" s="30">
        <v>9592.0</v>
      </c>
      <c r="G25" s="30">
        <v>697.0</v>
      </c>
      <c r="H25" s="31">
        <f t="shared" si="1"/>
        <v>13.76183644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8" t="s">
        <v>163</v>
      </c>
      <c r="B26" s="29" t="s">
        <v>92</v>
      </c>
      <c r="E26" s="30">
        <v>22.0</v>
      </c>
      <c r="F26" s="30">
        <v>9888.0</v>
      </c>
      <c r="G26" s="30">
        <v>650.0</v>
      </c>
      <c r="H26" s="31">
        <f t="shared" si="1"/>
        <v>15.21230769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8" t="s">
        <v>164</v>
      </c>
      <c r="B27" s="29" t="s">
        <v>95</v>
      </c>
      <c r="E27" s="30">
        <v>34.0</v>
      </c>
      <c r="F27" s="30">
        <v>12775.0</v>
      </c>
      <c r="G27" s="30">
        <v>791.0</v>
      </c>
      <c r="H27" s="31">
        <f t="shared" si="1"/>
        <v>16.15044248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8" t="s">
        <v>165</v>
      </c>
      <c r="B28" s="29" t="s">
        <v>99</v>
      </c>
      <c r="E28" s="30">
        <v>25.0</v>
      </c>
      <c r="F28" s="30">
        <v>10841.0</v>
      </c>
      <c r="G28" s="30">
        <v>750.0</v>
      </c>
      <c r="H28" s="31">
        <f t="shared" si="1"/>
        <v>14.45466667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8" t="s">
        <v>166</v>
      </c>
      <c r="B29" s="29" t="s">
        <v>102</v>
      </c>
      <c r="E29" s="30">
        <v>15.0</v>
      </c>
      <c r="F29" s="30">
        <v>5602.0</v>
      </c>
      <c r="G29" s="30">
        <v>457.0</v>
      </c>
      <c r="H29" s="31">
        <f t="shared" si="1"/>
        <v>12.25820569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8" t="s">
        <v>167</v>
      </c>
      <c r="B30" s="29" t="s">
        <v>106</v>
      </c>
      <c r="E30" s="30">
        <v>32.0</v>
      </c>
      <c r="F30" s="30">
        <v>12134.0</v>
      </c>
      <c r="G30" s="30">
        <v>875.0</v>
      </c>
      <c r="H30" s="31">
        <f t="shared" si="1"/>
        <v>13.86742857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8" t="s">
        <v>168</v>
      </c>
      <c r="B31" s="29" t="s">
        <v>109</v>
      </c>
      <c r="E31" s="30">
        <v>14.0</v>
      </c>
      <c r="F31" s="30">
        <v>5786.0</v>
      </c>
      <c r="G31" s="30">
        <v>454.0</v>
      </c>
      <c r="H31" s="31">
        <f t="shared" si="1"/>
        <v>12.74449339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8" t="s">
        <v>169</v>
      </c>
      <c r="B32" s="29" t="s">
        <v>113</v>
      </c>
      <c r="E32" s="30">
        <v>17.0</v>
      </c>
      <c r="F32" s="30">
        <v>8005.0</v>
      </c>
      <c r="G32" s="30">
        <v>585.0</v>
      </c>
      <c r="H32" s="31">
        <f t="shared" si="1"/>
        <v>13.68376068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8" t="s">
        <v>170</v>
      </c>
      <c r="B33" s="29" t="s">
        <v>116</v>
      </c>
      <c r="E33" s="30">
        <v>23.0</v>
      </c>
      <c r="F33" s="30">
        <v>12461.0</v>
      </c>
      <c r="G33" s="30">
        <v>869.0</v>
      </c>
      <c r="H33" s="31">
        <f t="shared" si="1"/>
        <v>14.33947066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8" t="s">
        <v>171</v>
      </c>
      <c r="B34" s="29" t="s">
        <v>120</v>
      </c>
      <c r="E34" s="30">
        <v>25.0</v>
      </c>
      <c r="F34" s="30">
        <v>9351.0</v>
      </c>
      <c r="G34" s="30">
        <v>585.0</v>
      </c>
      <c r="H34" s="31">
        <f t="shared" si="1"/>
        <v>15.98461538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8" t="s">
        <v>172</v>
      </c>
      <c r="B35" s="29" t="s">
        <v>123</v>
      </c>
      <c r="E35" s="30">
        <v>32.0</v>
      </c>
      <c r="F35" s="30">
        <v>16013.0</v>
      </c>
      <c r="G35" s="30">
        <v>1084.0</v>
      </c>
      <c r="H35" s="31">
        <f t="shared" si="1"/>
        <v>14.77214022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6" t="s">
        <v>253</v>
      </c>
      <c r="E36" s="38"/>
      <c r="F36" s="38"/>
      <c r="G36" s="38"/>
      <c r="H36" s="31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8" t="s">
        <v>42</v>
      </c>
      <c r="B37" s="29" t="s">
        <v>54</v>
      </c>
      <c r="E37" s="30">
        <v>12.0</v>
      </c>
      <c r="F37" s="30">
        <v>4914.0</v>
      </c>
      <c r="G37" s="30">
        <v>454.0</v>
      </c>
      <c r="H37" s="31">
        <f t="shared" ref="H37:H43" si="2">F37/G37</f>
        <v>10.82378855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8" t="s">
        <v>87</v>
      </c>
      <c r="B38" s="29" t="s">
        <v>129</v>
      </c>
      <c r="E38" s="30">
        <v>34.0</v>
      </c>
      <c r="F38" s="30">
        <v>16661.0</v>
      </c>
      <c r="G38" s="30">
        <v>1424.0</v>
      </c>
      <c r="H38" s="31">
        <f t="shared" si="2"/>
        <v>11.70014045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8" t="s">
        <v>96</v>
      </c>
      <c r="B39" s="29" t="s">
        <v>133</v>
      </c>
      <c r="E39" s="30">
        <v>8.0</v>
      </c>
      <c r="F39" s="30">
        <v>4154.0</v>
      </c>
      <c r="G39" s="30">
        <v>336.0</v>
      </c>
      <c r="H39" s="31">
        <f t="shared" si="2"/>
        <v>12.36309524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8" t="s">
        <v>104</v>
      </c>
      <c r="B40" s="29" t="s">
        <v>99</v>
      </c>
      <c r="E40" s="30">
        <v>73.0</v>
      </c>
      <c r="F40" s="30">
        <v>31466.0</v>
      </c>
      <c r="G40" s="30">
        <v>7447.0</v>
      </c>
      <c r="H40" s="31">
        <f t="shared" si="2"/>
        <v>4.225325634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8" t="s">
        <v>110</v>
      </c>
      <c r="B41" s="29" t="s">
        <v>113</v>
      </c>
      <c r="E41" s="30">
        <v>9.0</v>
      </c>
      <c r="F41" s="30">
        <v>3950.0</v>
      </c>
      <c r="G41" s="30">
        <v>284.0</v>
      </c>
      <c r="H41" s="31">
        <f t="shared" si="2"/>
        <v>13.9084507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8" t="s">
        <v>117</v>
      </c>
      <c r="B42" s="29" t="s">
        <v>120</v>
      </c>
      <c r="E42" s="30">
        <v>12.0</v>
      </c>
      <c r="F42" s="30">
        <v>5425.0</v>
      </c>
      <c r="G42" s="30">
        <v>378.0</v>
      </c>
      <c r="H42" s="31">
        <f t="shared" si="2"/>
        <v>14.35185185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2" t="s">
        <v>145</v>
      </c>
      <c r="B43" s="44"/>
      <c r="C43" s="44"/>
      <c r="D43" s="44"/>
      <c r="E43" s="46">
        <f t="shared" ref="E43:G43" si="3">SUM(E7:E42)</f>
        <v>856</v>
      </c>
      <c r="F43" s="46">
        <f t="shared" si="3"/>
        <v>364156</v>
      </c>
      <c r="G43" s="46">
        <f t="shared" si="3"/>
        <v>32598</v>
      </c>
      <c r="H43" s="48">
        <f t="shared" si="2"/>
        <v>11.17111479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7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9.75" customHeight="1">
      <c r="A45" s="29" t="s">
        <v>154</v>
      </c>
      <c r="C45" s="29" t="s">
        <v>155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9.75" customHeight="1">
      <c r="A46" s="50" t="s">
        <v>157</v>
      </c>
      <c r="C46" s="50" t="s">
        <v>158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9">
    <mergeCell ref="B39:D39"/>
    <mergeCell ref="B30:D30"/>
    <mergeCell ref="B41:D41"/>
    <mergeCell ref="B42:D42"/>
    <mergeCell ref="C45:H45"/>
    <mergeCell ref="C46:H46"/>
    <mergeCell ref="B40:D40"/>
    <mergeCell ref="B31:D31"/>
    <mergeCell ref="B35:D35"/>
    <mergeCell ref="B34:D34"/>
    <mergeCell ref="B33:D33"/>
    <mergeCell ref="B28:D28"/>
    <mergeCell ref="B32:D32"/>
    <mergeCell ref="B29:D29"/>
    <mergeCell ref="A2:B2"/>
    <mergeCell ref="A1:B1"/>
    <mergeCell ref="D1:H1"/>
    <mergeCell ref="D2:H2"/>
    <mergeCell ref="B10:D10"/>
    <mergeCell ref="A4:D4"/>
    <mergeCell ref="A5:D5"/>
    <mergeCell ref="B9:D9"/>
    <mergeCell ref="A6:D6"/>
    <mergeCell ref="B7:D7"/>
    <mergeCell ref="C1:C2"/>
    <mergeCell ref="B8:D8"/>
    <mergeCell ref="A45:B45"/>
    <mergeCell ref="A46:B46"/>
    <mergeCell ref="A43:D43"/>
    <mergeCell ref="B38:D38"/>
    <mergeCell ref="A36:D36"/>
    <mergeCell ref="B37:D37"/>
    <mergeCell ref="B19:D19"/>
    <mergeCell ref="B20:D20"/>
    <mergeCell ref="B21:D21"/>
    <mergeCell ref="B22:D22"/>
    <mergeCell ref="B16:D16"/>
    <mergeCell ref="B17:D17"/>
    <mergeCell ref="B11:D11"/>
    <mergeCell ref="B12:D12"/>
    <mergeCell ref="B13:D13"/>
    <mergeCell ref="B14:D14"/>
    <mergeCell ref="B15:D15"/>
    <mergeCell ref="B18:D18"/>
    <mergeCell ref="B27:D27"/>
    <mergeCell ref="B26:D26"/>
    <mergeCell ref="B24:D24"/>
    <mergeCell ref="B25:D25"/>
    <mergeCell ref="B23:D23"/>
  </mergeCells>
  <printOptions/>
  <pageMargins bottom="0.7874015748031497" footer="0.0" header="0.0" left="0.7874015748031497" right="0.5905511811023623" top="0.7874015748031497"/>
  <pageSetup paperSize="11" scale="66" orientation="portrait"/>
  <headerFooter>
    <oddHeader>&amp;RSOSIAL</oddHeader>
    <oddFooter>&amp;RProvinsi Sulawesi Selatan Dalam Angka 2015  |  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2"/>
      <c r="C1" s="4" t="s">
        <v>244</v>
      </c>
      <c r="D1" s="4" t="s">
        <v>254</v>
      </c>
    </row>
    <row r="2">
      <c r="A2" s="4" t="s">
        <v>4</v>
      </c>
      <c r="D2" s="4" t="s">
        <v>255</v>
      </c>
    </row>
    <row r="3">
      <c r="A3" s="6"/>
      <c r="B3" s="6"/>
      <c r="C3" s="6"/>
      <c r="D3" s="6"/>
      <c r="E3" s="6"/>
      <c r="F3" s="6"/>
      <c r="G3" s="6"/>
      <c r="H3" s="6"/>
    </row>
    <row r="4">
      <c r="A4" s="9" t="s">
        <v>7</v>
      </c>
      <c r="B4" s="11"/>
      <c r="C4" s="11"/>
      <c r="D4" s="11"/>
      <c r="E4" s="9" t="s">
        <v>9</v>
      </c>
      <c r="F4" s="9" t="s">
        <v>10</v>
      </c>
      <c r="G4" s="9" t="s">
        <v>11</v>
      </c>
      <c r="H4" s="9" t="s">
        <v>12</v>
      </c>
    </row>
    <row r="5">
      <c r="A5" s="2"/>
      <c r="B5" s="2"/>
      <c r="C5" s="2"/>
      <c r="D5" s="2"/>
      <c r="E5" s="2"/>
      <c r="F5" s="2"/>
      <c r="G5" s="2"/>
      <c r="H5" s="2"/>
    </row>
    <row r="6">
      <c r="A6" s="14">
        <v>-1.0</v>
      </c>
      <c r="B6" s="19"/>
      <c r="C6" s="19"/>
      <c r="D6" s="19"/>
      <c r="E6" s="14">
        <v>-2.0</v>
      </c>
      <c r="F6" s="14">
        <v>-3.0</v>
      </c>
      <c r="G6" s="14">
        <v>-4.0</v>
      </c>
      <c r="H6" s="14">
        <v>-5.0</v>
      </c>
    </row>
    <row r="7">
      <c r="A7" s="22" t="s">
        <v>26</v>
      </c>
      <c r="B7" s="24"/>
      <c r="C7" s="24"/>
      <c r="D7" s="24"/>
      <c r="E7" s="6"/>
      <c r="F7" s="6"/>
      <c r="G7" s="6"/>
      <c r="H7" s="6"/>
    </row>
    <row r="8">
      <c r="A8" s="4">
        <v>1.0</v>
      </c>
      <c r="B8" s="4" t="s">
        <v>32</v>
      </c>
      <c r="E8" s="26">
        <v>41.0</v>
      </c>
      <c r="F8" s="4" t="s">
        <v>256</v>
      </c>
      <c r="G8" s="4" t="s">
        <v>257</v>
      </c>
      <c r="H8" s="26">
        <v>13.0</v>
      </c>
    </row>
    <row r="9">
      <c r="A9" s="4">
        <v>2.0</v>
      </c>
      <c r="B9" s="4" t="s">
        <v>35</v>
      </c>
      <c r="E9" s="26">
        <v>37.0</v>
      </c>
      <c r="F9" s="4" t="s">
        <v>258</v>
      </c>
      <c r="G9" s="4" t="s">
        <v>259</v>
      </c>
      <c r="H9" s="26">
        <v>13.0</v>
      </c>
    </row>
    <row r="10">
      <c r="A10" s="4">
        <v>3.0</v>
      </c>
      <c r="B10" s="4" t="s">
        <v>38</v>
      </c>
      <c r="E10" s="26">
        <v>16.0</v>
      </c>
      <c r="F10" s="4" t="s">
        <v>260</v>
      </c>
      <c r="G10" s="4">
        <v>590.0</v>
      </c>
      <c r="H10" s="26">
        <v>12.0</v>
      </c>
    </row>
    <row r="11">
      <c r="A11" s="4">
        <v>4.0</v>
      </c>
      <c r="B11" s="4" t="s">
        <v>41</v>
      </c>
      <c r="E11" s="26">
        <v>13.0</v>
      </c>
      <c r="F11" s="4" t="s">
        <v>261</v>
      </c>
      <c r="G11" s="4">
        <v>492.0</v>
      </c>
      <c r="H11" s="26">
        <v>13.0</v>
      </c>
    </row>
    <row r="12">
      <c r="A12" s="4">
        <v>5.0</v>
      </c>
      <c r="B12" s="4" t="s">
        <v>45</v>
      </c>
      <c r="E12" s="26">
        <v>25.0</v>
      </c>
      <c r="F12" s="4" t="s">
        <v>262</v>
      </c>
      <c r="G12" s="4">
        <v>791.0</v>
      </c>
      <c r="H12" s="26">
        <v>13.0</v>
      </c>
    </row>
    <row r="13">
      <c r="A13" s="4">
        <v>6.0</v>
      </c>
      <c r="B13" s="4" t="s">
        <v>48</v>
      </c>
      <c r="E13" s="26">
        <v>23.0</v>
      </c>
      <c r="F13" s="4" t="s">
        <v>263</v>
      </c>
      <c r="G13" s="4">
        <v>778.0</v>
      </c>
      <c r="H13" s="26">
        <v>10.0</v>
      </c>
    </row>
    <row r="14">
      <c r="A14" s="4">
        <v>7.0</v>
      </c>
      <c r="B14" s="4" t="s">
        <v>51</v>
      </c>
      <c r="E14" s="26">
        <v>17.0</v>
      </c>
      <c r="F14" s="4" t="s">
        <v>264</v>
      </c>
      <c r="G14" s="4">
        <v>588.0</v>
      </c>
      <c r="H14" s="26">
        <v>12.0</v>
      </c>
    </row>
    <row r="15">
      <c r="A15" s="4">
        <v>8.0</v>
      </c>
      <c r="B15" s="4" t="s">
        <v>54</v>
      </c>
      <c r="E15" s="26">
        <v>35.0</v>
      </c>
      <c r="F15" s="4" t="s">
        <v>265</v>
      </c>
      <c r="G15" s="4" t="s">
        <v>266</v>
      </c>
      <c r="H15" s="26">
        <v>10.0</v>
      </c>
    </row>
    <row r="16">
      <c r="A16" s="4">
        <v>9.0</v>
      </c>
      <c r="B16" s="4" t="s">
        <v>57</v>
      </c>
      <c r="E16" s="26">
        <v>32.0</v>
      </c>
      <c r="F16" s="4" t="s">
        <v>267</v>
      </c>
      <c r="G16" s="4">
        <v>989.0</v>
      </c>
      <c r="H16" s="26">
        <v>10.0</v>
      </c>
    </row>
    <row r="17">
      <c r="A17" s="4">
        <v>10.0</v>
      </c>
      <c r="B17" s="4" t="s">
        <v>60</v>
      </c>
      <c r="E17" s="26">
        <v>28.0</v>
      </c>
      <c r="F17" s="4" t="s">
        <v>268</v>
      </c>
      <c r="G17" s="4" t="s">
        <v>269</v>
      </c>
      <c r="H17" s="26">
        <v>9.0</v>
      </c>
    </row>
    <row r="18">
      <c r="A18" s="4">
        <v>11.0</v>
      </c>
      <c r="B18" s="4" t="s">
        <v>63</v>
      </c>
      <c r="E18" s="26">
        <v>27.0</v>
      </c>
      <c r="F18" s="4" t="s">
        <v>270</v>
      </c>
      <c r="G18" s="4" t="s">
        <v>271</v>
      </c>
      <c r="H18" s="26">
        <v>11.0</v>
      </c>
    </row>
    <row r="19">
      <c r="A19" s="4">
        <v>12.0</v>
      </c>
      <c r="B19" s="4" t="s">
        <v>66</v>
      </c>
      <c r="E19" s="26">
        <v>21.0</v>
      </c>
      <c r="F19" s="4" t="s">
        <v>272</v>
      </c>
      <c r="G19" s="4">
        <v>805.0</v>
      </c>
      <c r="H19" s="26">
        <v>11.0</v>
      </c>
    </row>
    <row r="20">
      <c r="A20" s="4">
        <v>13.0</v>
      </c>
      <c r="B20" s="4" t="s">
        <v>69</v>
      </c>
      <c r="E20" s="26">
        <v>14.0</v>
      </c>
      <c r="F20" s="4" t="s">
        <v>273</v>
      </c>
      <c r="G20" s="4">
        <v>568.0</v>
      </c>
      <c r="H20" s="26">
        <v>17.0</v>
      </c>
    </row>
    <row r="21">
      <c r="A21" s="4">
        <v>14.0</v>
      </c>
      <c r="B21" s="4" t="s">
        <v>72</v>
      </c>
      <c r="E21" s="26">
        <v>25.0</v>
      </c>
      <c r="F21" s="4" t="s">
        <v>274</v>
      </c>
      <c r="G21" s="4">
        <v>859.0</v>
      </c>
      <c r="H21" s="26">
        <v>11.0</v>
      </c>
    </row>
    <row r="22">
      <c r="A22" s="4">
        <v>15.0</v>
      </c>
      <c r="B22" s="4" t="s">
        <v>76</v>
      </c>
      <c r="E22" s="26">
        <v>36.0</v>
      </c>
      <c r="F22" s="4" t="s">
        <v>275</v>
      </c>
      <c r="G22" s="4">
        <v>668.0</v>
      </c>
      <c r="H22" s="26">
        <v>23.0</v>
      </c>
    </row>
    <row r="23">
      <c r="A23" s="4">
        <v>16.0</v>
      </c>
      <c r="B23" s="4" t="s">
        <v>79</v>
      </c>
      <c r="E23" s="26">
        <v>22.0</v>
      </c>
      <c r="F23" s="4" t="s">
        <v>276</v>
      </c>
      <c r="G23" s="4">
        <v>695.0</v>
      </c>
      <c r="H23" s="4">
        <v>12.0</v>
      </c>
    </row>
    <row r="24">
      <c r="A24" s="4">
        <v>17.0</v>
      </c>
      <c r="B24" s="4" t="s">
        <v>82</v>
      </c>
      <c r="E24" s="26">
        <v>14.0</v>
      </c>
      <c r="F24" s="4" t="s">
        <v>277</v>
      </c>
      <c r="G24" s="4">
        <v>496.0</v>
      </c>
      <c r="H24" s="26">
        <v>15.0</v>
      </c>
    </row>
    <row r="25">
      <c r="A25" s="4">
        <v>18.0</v>
      </c>
      <c r="B25" s="4" t="s">
        <v>85</v>
      </c>
      <c r="E25" s="26">
        <v>26.0</v>
      </c>
      <c r="F25" s="4" t="s">
        <v>278</v>
      </c>
      <c r="G25" s="4" t="s">
        <v>279</v>
      </c>
      <c r="H25" s="26">
        <v>12.0</v>
      </c>
    </row>
    <row r="26">
      <c r="A26" s="4">
        <v>19.0</v>
      </c>
      <c r="B26" s="4" t="s">
        <v>89</v>
      </c>
      <c r="E26" s="26">
        <v>17.0</v>
      </c>
      <c r="F26" s="4" t="s">
        <v>280</v>
      </c>
      <c r="G26" s="4">
        <v>697.0</v>
      </c>
      <c r="H26" s="26">
        <v>14.0</v>
      </c>
    </row>
    <row r="27">
      <c r="A27" s="4">
        <v>20.0</v>
      </c>
      <c r="B27" s="4" t="s">
        <v>92</v>
      </c>
      <c r="E27" s="26">
        <v>22.0</v>
      </c>
      <c r="F27" s="4" t="s">
        <v>281</v>
      </c>
      <c r="G27" s="4">
        <v>650.0</v>
      </c>
      <c r="H27" s="26">
        <v>15.0</v>
      </c>
    </row>
    <row r="28">
      <c r="A28" s="4">
        <v>21.0</v>
      </c>
      <c r="B28" s="4" t="s">
        <v>95</v>
      </c>
      <c r="E28" s="26">
        <v>34.0</v>
      </c>
      <c r="F28" s="4" t="s">
        <v>282</v>
      </c>
      <c r="G28" s="4">
        <v>791.0</v>
      </c>
      <c r="H28" s="26">
        <v>16.0</v>
      </c>
    </row>
    <row r="29">
      <c r="A29" s="4">
        <v>22.0</v>
      </c>
      <c r="B29" s="4" t="s">
        <v>99</v>
      </c>
      <c r="E29" s="26">
        <v>25.0</v>
      </c>
      <c r="F29" s="4" t="s">
        <v>283</v>
      </c>
      <c r="G29" s="4">
        <v>750.0</v>
      </c>
      <c r="H29" s="26">
        <v>14.0</v>
      </c>
    </row>
    <row r="30">
      <c r="A30" s="4">
        <v>23.0</v>
      </c>
      <c r="B30" s="4" t="s">
        <v>102</v>
      </c>
      <c r="E30" s="26">
        <v>15.0</v>
      </c>
      <c r="F30" s="4" t="s">
        <v>284</v>
      </c>
      <c r="G30" s="4">
        <v>457.0</v>
      </c>
      <c r="H30" s="26">
        <v>12.0</v>
      </c>
    </row>
    <row r="31">
      <c r="A31" s="4">
        <v>24.0</v>
      </c>
      <c r="B31" s="4" t="s">
        <v>106</v>
      </c>
      <c r="E31" s="26">
        <v>32.0</v>
      </c>
      <c r="F31" s="4" t="s">
        <v>285</v>
      </c>
      <c r="G31" s="4">
        <v>875.0</v>
      </c>
      <c r="H31" s="26">
        <v>14.0</v>
      </c>
    </row>
    <row r="32">
      <c r="A32" s="4">
        <v>25.0</v>
      </c>
      <c r="B32" s="4" t="s">
        <v>109</v>
      </c>
      <c r="E32" s="26">
        <v>14.0</v>
      </c>
      <c r="F32" s="4" t="s">
        <v>286</v>
      </c>
      <c r="G32" s="4">
        <v>454.0</v>
      </c>
      <c r="H32" s="26">
        <v>13.0</v>
      </c>
    </row>
    <row r="33">
      <c r="A33" s="4">
        <v>26.0</v>
      </c>
      <c r="B33" s="4" t="s">
        <v>113</v>
      </c>
      <c r="E33" s="26">
        <v>17.0</v>
      </c>
      <c r="F33" s="4" t="s">
        <v>287</v>
      </c>
      <c r="G33" s="4">
        <v>585.0</v>
      </c>
      <c r="H33" s="26">
        <v>14.0</v>
      </c>
    </row>
    <row r="34">
      <c r="A34" s="4">
        <v>27.0</v>
      </c>
      <c r="B34" s="4" t="s">
        <v>116</v>
      </c>
      <c r="E34" s="26">
        <v>23.0</v>
      </c>
      <c r="F34" s="4" t="s">
        <v>288</v>
      </c>
      <c r="G34" s="4">
        <v>869.0</v>
      </c>
      <c r="H34" s="26">
        <v>14.0</v>
      </c>
    </row>
    <row r="35">
      <c r="A35" s="4">
        <v>28.0</v>
      </c>
      <c r="B35" s="4" t="s">
        <v>120</v>
      </c>
      <c r="E35" s="26">
        <v>25.0</v>
      </c>
      <c r="F35" s="4" t="s">
        <v>289</v>
      </c>
      <c r="G35" s="4">
        <v>585.0</v>
      </c>
      <c r="H35" s="26">
        <v>16.0</v>
      </c>
    </row>
    <row r="36">
      <c r="A36" s="4">
        <v>29.0</v>
      </c>
      <c r="B36" s="4" t="s">
        <v>123</v>
      </c>
      <c r="E36" s="26">
        <v>32.0</v>
      </c>
      <c r="F36" s="4" t="s">
        <v>290</v>
      </c>
      <c r="G36" s="4" t="s">
        <v>291</v>
      </c>
      <c r="H36" s="26">
        <v>15.0</v>
      </c>
    </row>
    <row r="37">
      <c r="A37" s="4" t="s">
        <v>126</v>
      </c>
      <c r="E37" s="6"/>
      <c r="F37" s="6"/>
      <c r="G37" s="6"/>
      <c r="H37" s="6"/>
    </row>
    <row r="38">
      <c r="A38" s="4">
        <v>1.0</v>
      </c>
      <c r="B38" s="4" t="s">
        <v>54</v>
      </c>
      <c r="E38" s="26">
        <v>12.0</v>
      </c>
      <c r="F38" s="4" t="s">
        <v>292</v>
      </c>
      <c r="G38" s="4">
        <v>454.0</v>
      </c>
      <c r="H38" s="26">
        <v>11.0</v>
      </c>
    </row>
    <row r="39">
      <c r="A39" s="4">
        <v>2.0</v>
      </c>
      <c r="B39" s="4" t="s">
        <v>129</v>
      </c>
      <c r="E39" s="26">
        <v>34.0</v>
      </c>
      <c r="F39" s="4" t="s">
        <v>293</v>
      </c>
      <c r="G39" s="4" t="s">
        <v>294</v>
      </c>
      <c r="H39" s="26">
        <v>12.0</v>
      </c>
    </row>
    <row r="40">
      <c r="A40" s="4">
        <v>3.0</v>
      </c>
      <c r="B40" s="4" t="s">
        <v>133</v>
      </c>
      <c r="E40" s="26">
        <v>8.0</v>
      </c>
      <c r="F40" s="4" t="s">
        <v>295</v>
      </c>
      <c r="G40" s="4">
        <v>336.0</v>
      </c>
      <c r="H40" s="26">
        <v>12.0</v>
      </c>
    </row>
    <row r="41">
      <c r="A41" s="4">
        <v>4.0</v>
      </c>
      <c r="B41" s="4" t="s">
        <v>99</v>
      </c>
      <c r="E41" s="26">
        <v>73.0</v>
      </c>
      <c r="F41" s="4" t="s">
        <v>296</v>
      </c>
      <c r="G41" s="4" t="s">
        <v>138</v>
      </c>
      <c r="H41" s="26">
        <v>13.0</v>
      </c>
    </row>
    <row r="42">
      <c r="A42" s="4">
        <v>5.0</v>
      </c>
      <c r="B42" s="4" t="s">
        <v>113</v>
      </c>
      <c r="E42" s="26">
        <v>9.0</v>
      </c>
      <c r="F42" s="4" t="s">
        <v>297</v>
      </c>
      <c r="G42" s="4">
        <v>284.0</v>
      </c>
      <c r="H42" s="26">
        <v>14.0</v>
      </c>
    </row>
    <row r="43">
      <c r="A43" s="3">
        <v>6.0</v>
      </c>
      <c r="B43" s="3" t="s">
        <v>120</v>
      </c>
      <c r="C43" s="2"/>
      <c r="D43" s="2"/>
      <c r="E43" s="32">
        <v>12.0</v>
      </c>
      <c r="F43" s="3" t="s">
        <v>298</v>
      </c>
      <c r="G43" s="3">
        <v>378.0</v>
      </c>
      <c r="H43" s="32">
        <v>14.0</v>
      </c>
    </row>
    <row r="44">
      <c r="A44" s="33" t="s">
        <v>145</v>
      </c>
      <c r="B44" s="34"/>
      <c r="C44" s="34"/>
      <c r="D44" s="34"/>
      <c r="E44" s="51">
        <v>835.0</v>
      </c>
      <c r="F44" s="51">
        <v>354781.0</v>
      </c>
      <c r="G44" s="51">
        <v>31936.0</v>
      </c>
      <c r="H44" s="51" t="s">
        <v>299</v>
      </c>
    </row>
    <row r="45">
      <c r="A45" s="4" t="s">
        <v>154</v>
      </c>
      <c r="C45" s="4" t="s">
        <v>155</v>
      </c>
    </row>
    <row r="46">
      <c r="A46" s="4" t="s">
        <v>157</v>
      </c>
      <c r="C46" s="4" t="s">
        <v>158</v>
      </c>
    </row>
  </sheetData>
  <mergeCells count="53">
    <mergeCell ref="B31:D31"/>
    <mergeCell ref="B32:D32"/>
    <mergeCell ref="B33:D33"/>
    <mergeCell ref="B34:D34"/>
    <mergeCell ref="B26:D26"/>
    <mergeCell ref="B27:D27"/>
    <mergeCell ref="B28:D28"/>
    <mergeCell ref="B29:D29"/>
    <mergeCell ref="B30:D30"/>
    <mergeCell ref="A45:B45"/>
    <mergeCell ref="C45:H45"/>
    <mergeCell ref="A46:B46"/>
    <mergeCell ref="C46:H46"/>
    <mergeCell ref="B40:D40"/>
    <mergeCell ref="B41:D41"/>
    <mergeCell ref="B42:D42"/>
    <mergeCell ref="B43:D43"/>
    <mergeCell ref="A44:D44"/>
    <mergeCell ref="F4:F5"/>
    <mergeCell ref="E4:E5"/>
    <mergeCell ref="G4:G5"/>
    <mergeCell ref="H4:H5"/>
    <mergeCell ref="A1:B1"/>
    <mergeCell ref="C1:C2"/>
    <mergeCell ref="D1:H1"/>
    <mergeCell ref="A2:B2"/>
    <mergeCell ref="D2:H2"/>
    <mergeCell ref="A4:D5"/>
    <mergeCell ref="A6:D6"/>
    <mergeCell ref="A7:D7"/>
    <mergeCell ref="B8:D8"/>
    <mergeCell ref="B9:D9"/>
    <mergeCell ref="B10:D10"/>
    <mergeCell ref="B11:D11"/>
    <mergeCell ref="B35:D35"/>
    <mergeCell ref="B36:D36"/>
    <mergeCell ref="A37:D37"/>
    <mergeCell ref="B38:D38"/>
    <mergeCell ref="B39:D39"/>
    <mergeCell ref="B19:D19"/>
    <mergeCell ref="B20:D20"/>
    <mergeCell ref="B21:D21"/>
    <mergeCell ref="B22:D22"/>
    <mergeCell ref="B23:D23"/>
    <mergeCell ref="B24:D24"/>
    <mergeCell ref="B25:D25"/>
    <mergeCell ref="B12:D12"/>
    <mergeCell ref="B13:D13"/>
    <mergeCell ref="B14:D14"/>
    <mergeCell ref="B15:D15"/>
    <mergeCell ref="B16:D16"/>
    <mergeCell ref="B17:D17"/>
    <mergeCell ref="B18:D18"/>
  </mergeCells>
  <drawing r:id="rId1"/>
</worksheet>
</file>