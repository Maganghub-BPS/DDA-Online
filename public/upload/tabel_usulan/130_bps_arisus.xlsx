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0490" windowHeight="7755"/>
  </bookViews>
  <sheets>
    <sheet name="Tabel 4.3.5" sheetId="1" r:id="rId1"/>
  </sheets>
  <definedNames>
    <definedName name="_xlnm.Print_Area" localSheetId="0">'Tabel 4.3.5'!$A$1:$I$53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6" i="1" l="1"/>
  <c r="D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46" i="1" s="1"/>
</calcChain>
</file>

<file path=xl/sharedStrings.xml><?xml version="1.0" encoding="utf-8"?>
<sst xmlns="http://schemas.openxmlformats.org/spreadsheetml/2006/main" count="96" uniqueCount="95">
  <si>
    <t>Tabel</t>
  </si>
  <si>
    <t>: 4.3.5</t>
  </si>
  <si>
    <t>Banyaknya Jema'ah Haji yang Diberangkatkan ke Tanah Suci (Mekkah)</t>
  </si>
  <si>
    <t>Table</t>
  </si>
  <si>
    <t>Menurut Jenis Kelamin di Jawa Tengah Tahun 2017</t>
  </si>
  <si>
    <t>Number of Pilgrims Departing to Mecca by Sex</t>
  </si>
  <si>
    <t>in Jawa Tengah 2017</t>
  </si>
  <si>
    <t>Jenis Kelamin</t>
  </si>
  <si>
    <t xml:space="preserve"> </t>
  </si>
  <si>
    <t xml:space="preserve">Kabupaten/Kota </t>
  </si>
  <si>
    <t>Sex</t>
  </si>
  <si>
    <t>Jumlah</t>
  </si>
  <si>
    <t>Regency/City</t>
  </si>
  <si>
    <t>Laki-laki</t>
  </si>
  <si>
    <t>Wanita</t>
  </si>
  <si>
    <t>Total</t>
  </si>
  <si>
    <t>Male</t>
  </si>
  <si>
    <t>Female</t>
  </si>
  <si>
    <t>(1)</t>
  </si>
  <si>
    <t>(2)</t>
  </si>
  <si>
    <t>(3)</t>
  </si>
  <si>
    <t>(4)</t>
  </si>
  <si>
    <t>01.</t>
  </si>
  <si>
    <t>Kab. Cilacap</t>
  </si>
  <si>
    <t>02.</t>
  </si>
  <si>
    <t>Kab. Banyumas</t>
  </si>
  <si>
    <t>03.</t>
  </si>
  <si>
    <t>Kab. Purbalingga</t>
  </si>
  <si>
    <t>04.</t>
  </si>
  <si>
    <t>Kab. Banjarnegara</t>
  </si>
  <si>
    <t>05.</t>
  </si>
  <si>
    <t>Kab. Kebumen</t>
  </si>
  <si>
    <t>06.</t>
  </si>
  <si>
    <t>Kab. Purworejo</t>
  </si>
  <si>
    <t>07.</t>
  </si>
  <si>
    <t>Kab. Wonosobo</t>
  </si>
  <si>
    <t>08.</t>
  </si>
  <si>
    <t>Kab. Magelang</t>
  </si>
  <si>
    <t>09.</t>
  </si>
  <si>
    <t>Kab. Boyolali</t>
  </si>
  <si>
    <t>10.</t>
  </si>
  <si>
    <t>Kab. Klaten</t>
  </si>
  <si>
    <t>11.</t>
  </si>
  <si>
    <t>Kab. Sukoharjo</t>
  </si>
  <si>
    <t>12.</t>
  </si>
  <si>
    <t>Kab. Wonogiri</t>
  </si>
  <si>
    <t>13.</t>
  </si>
  <si>
    <t>Kab. Karanganyar</t>
  </si>
  <si>
    <t>14.</t>
  </si>
  <si>
    <t>Kab. Sragen</t>
  </si>
  <si>
    <t>15.</t>
  </si>
  <si>
    <t>Kab. Grobogan</t>
  </si>
  <si>
    <t>16.</t>
  </si>
  <si>
    <t>Kab. Blora</t>
  </si>
  <si>
    <t>17.</t>
  </si>
  <si>
    <t>Kab. Rembang</t>
  </si>
  <si>
    <t>18.</t>
  </si>
  <si>
    <t>Kab. Pati</t>
  </si>
  <si>
    <t>19.</t>
  </si>
  <si>
    <t>Kab. Kudus</t>
  </si>
  <si>
    <t>20.</t>
  </si>
  <si>
    <t>Kab. Jepara</t>
  </si>
  <si>
    <t>21.</t>
  </si>
  <si>
    <t>Kab. Demak</t>
  </si>
  <si>
    <t>22.</t>
  </si>
  <si>
    <t xml:space="preserve">Kab. Semarang </t>
  </si>
  <si>
    <t>23.</t>
  </si>
  <si>
    <t>Kab. Temanggung</t>
  </si>
  <si>
    <t>24.</t>
  </si>
  <si>
    <t>Kab. Kendal</t>
  </si>
  <si>
    <t>25.</t>
  </si>
  <si>
    <t>Kab. Batang</t>
  </si>
  <si>
    <t>26.</t>
  </si>
  <si>
    <t>Kab. Pekalongan</t>
  </si>
  <si>
    <t>27.</t>
  </si>
  <si>
    <t>Kab. Pemalang</t>
  </si>
  <si>
    <t>28.</t>
  </si>
  <si>
    <t>Kab. Tegal</t>
  </si>
  <si>
    <t>29.</t>
  </si>
  <si>
    <t>Kab. Brebes</t>
  </si>
  <si>
    <t>30.</t>
  </si>
  <si>
    <t>Kota Magelang</t>
  </si>
  <si>
    <t>31.</t>
  </si>
  <si>
    <t>Kota Surakarta</t>
  </si>
  <si>
    <t>32.</t>
  </si>
  <si>
    <t>Kota Salatiga</t>
  </si>
  <si>
    <t>33.</t>
  </si>
  <si>
    <t>Kota Semarang</t>
  </si>
  <si>
    <t>34.</t>
  </si>
  <si>
    <t>Kota Pekalongan</t>
  </si>
  <si>
    <t>35.</t>
  </si>
  <si>
    <t>Kota Tegal</t>
  </si>
  <si>
    <r>
      <t>Jumlah/</t>
    </r>
    <r>
      <rPr>
        <i/>
        <sz val="8.6"/>
        <rFont val="Arial"/>
        <family val="2"/>
      </rPr>
      <t>Total</t>
    </r>
  </si>
  <si>
    <t>Sumber : Kanwil Kementerian Agama Provinsi Jawa Tengah</t>
  </si>
  <si>
    <t>Source : Ministry of Religious Affairs of Central Java 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</si>
</sst>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-&quot;_);_(@_)"/>
  </numFmts>
  <fonts count="5" x14ac:knownFonts="1">
    <font>
      <sz val="11"/>
      <color theme="1"/>
      <name val="Calibri"/>
      <family val="2"/>
      <charset val="1"/>
      <scheme val="minor"/>
    </font>
    <font>
      <sz val="12"/>
      <name val="Times New Roman"/>
      <family val="1"/>
    </font>
    <font>
      <sz val="8.6"/>
      <name val="Arial"/>
      <family val="2"/>
    </font>
    <font>
      <sz val="8.6"/>
      <name val="Times New Roman"/>
      <family val="1"/>
    </font>
    <font>
      <i/>
      <sz val="8.6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2" fillId="0" borderId="1" xfId="1" applyFont="1" applyBorder="1" applyAlignment="1">
      <alignment vertical="center"/>
    </xf>
    <xf numFmtId="0" fontId="2" fillId="0" borderId="0" xfId="1" quotePrefix="1" applyFont="1" applyAlignment="1">
      <alignment horizontal="left" vertical="center"/>
    </xf>
    <xf numFmtId="0" fontId="2" fillId="0" borderId="0" xfId="1" quotePrefix="1" applyFont="1" applyAlignment="1">
      <alignment horizontal="center" vertical="center"/>
    </xf>
    <xf numFmtId="0" fontId="3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4" fillId="0" borderId="0" xfId="1" quotePrefix="1" applyFont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 vertical="center"/>
    </xf>
    <xf numFmtId="0" fontId="2" fillId="0" borderId="4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164" fontId="2" fillId="0" borderId="0" xfId="1" applyNumberFormat="1" applyFont="1" applyAlignment="1">
      <alignment vertical="center"/>
    </xf>
    <xf numFmtId="3" fontId="2" fillId="0" borderId="0" xfId="1" applyNumberFormat="1" applyFont="1" applyAlignment="1">
      <alignment vertical="center"/>
    </xf>
    <xf numFmtId="0" fontId="2" fillId="0" borderId="2" xfId="1" applyFont="1" applyBorder="1" applyAlignment="1">
      <alignment horizontal="center" vertical="center"/>
    </xf>
    <xf numFmtId="164" fontId="2" fillId="0" borderId="2" xfId="1" applyNumberFormat="1" applyFont="1" applyBorder="1" applyAlignment="1">
      <alignment vertical="center"/>
    </xf>
    <xf numFmtId="3" fontId="2" fillId="0" borderId="2" xfId="1" applyNumberFormat="1" applyFont="1" applyBorder="1" applyAlignment="1">
      <alignment vertical="center"/>
    </xf>
    <xf numFmtId="0" fontId="2" fillId="0" borderId="3" xfId="1" quotePrefix="1" applyFont="1" applyFill="1" applyBorder="1" applyAlignment="1">
      <alignment horizontal="center" vertical="center"/>
    </xf>
    <xf numFmtId="0" fontId="3" fillId="0" borderId="0" xfId="1" applyFont="1" applyFill="1" applyAlignment="1">
      <alignment horizontal="center" vertical="center"/>
    </xf>
    <xf numFmtId="164" fontId="2" fillId="0" borderId="0" xfId="1" applyNumberFormat="1" applyFont="1" applyFill="1" applyAlignment="1">
      <alignment vertical="center"/>
    </xf>
    <xf numFmtId="164" fontId="2" fillId="0" borderId="0" xfId="1" applyNumberFormat="1" applyFont="1" applyFill="1" applyAlignment="1">
      <alignment horizontal="left" vertical="top"/>
    </xf>
    <xf numFmtId="3" fontId="2" fillId="0" borderId="0" xfId="1" applyNumberFormat="1" applyFont="1" applyFill="1" applyAlignment="1">
      <alignment vertical="center"/>
    </xf>
    <xf numFmtId="0" fontId="3" fillId="0" borderId="0" xfId="1" applyFont="1" applyFill="1" applyAlignment="1">
      <alignment vertical="center"/>
    </xf>
    <xf numFmtId="0" fontId="2" fillId="0" borderId="0" xfId="1" quotePrefix="1" applyFont="1" applyFill="1" applyBorder="1" applyAlignment="1">
      <alignment horizontal="center" vertical="center"/>
    </xf>
    <xf numFmtId="0" fontId="2" fillId="0" borderId="0" xfId="1" quotePrefix="1" applyFont="1" applyFill="1" applyAlignment="1">
      <alignment horizontal="left" vertical="center"/>
    </xf>
    <xf numFmtId="0" fontId="4" fillId="0" borderId="0" xfId="1" quotePrefix="1" applyFont="1" applyAlignment="1">
      <alignment horizontal="left" vertical="center"/>
    </xf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6"/>
  <sheetViews>
    <sheetView tabSelected="1" view="pageBreakPreview" zoomScaleSheetLayoutView="100" workbookViewId="0">
      <selection activeCell="F29" sqref="F29"/>
    </sheetView>
  </sheetViews>
  <sheetFormatPr defaultRowHeight="15.75" x14ac:dyDescent="0.25"/>
  <cols>
    <col min="1" max="1" width="5.28515625" style="33" customWidth="1"/>
    <col min="2" max="2" width="13.85546875" style="33" bestFit="1" customWidth="1"/>
    <col min="3" max="3" width="4.42578125" style="33" bestFit="1" customWidth="1"/>
    <col min="4" max="4" width="11.7109375" style="33" customWidth="1"/>
    <col min="5" max="5" width="7.7109375" style="33" customWidth="1"/>
    <col min="6" max="6" width="12.7109375" style="33" customWidth="1"/>
    <col min="7" max="7" width="5.85546875" style="33" customWidth="1"/>
    <col min="8" max="8" width="9.5703125" style="33" customWidth="1"/>
    <col min="9" max="9" width="7.140625" style="33" customWidth="1"/>
    <col min="10" max="16384" width="9.140625" style="33"/>
  </cols>
  <sheetData>
    <row r="1" spans="1:9" s="4" customFormat="1" ht="11.25" x14ac:dyDescent="0.25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3"/>
      <c r="I1" s="3"/>
    </row>
    <row r="2" spans="1:9" s="4" customFormat="1" ht="11.25" x14ac:dyDescent="0.25">
      <c r="A2" s="5" t="s">
        <v>3</v>
      </c>
      <c r="B2" s="6"/>
      <c r="C2" s="3" t="s">
        <v>4</v>
      </c>
      <c r="D2" s="3"/>
      <c r="E2" s="3"/>
      <c r="F2" s="3"/>
      <c r="G2" s="3"/>
      <c r="H2" s="3"/>
      <c r="I2" s="3"/>
    </row>
    <row r="3" spans="1:9" s="4" customFormat="1" ht="11.25" x14ac:dyDescent="0.25">
      <c r="A3" s="6"/>
      <c r="B3" s="6"/>
      <c r="C3" s="7" t="s">
        <v>5</v>
      </c>
      <c r="D3" s="7"/>
      <c r="E3" s="7"/>
      <c r="F3" s="7"/>
      <c r="G3" s="7"/>
      <c r="H3" s="7"/>
      <c r="I3" s="7"/>
    </row>
    <row r="4" spans="1:9" s="4" customFormat="1" ht="11.25" x14ac:dyDescent="0.25">
      <c r="A4" s="6"/>
      <c r="B4" s="6"/>
      <c r="C4" s="7" t="s">
        <v>6</v>
      </c>
      <c r="D4" s="7"/>
      <c r="E4" s="7"/>
      <c r="F4" s="7"/>
      <c r="G4" s="7"/>
      <c r="H4" s="7"/>
      <c r="I4" s="7"/>
    </row>
    <row r="5" spans="1:9" s="4" customFormat="1" ht="12" thickBot="1" x14ac:dyDescent="0.3">
      <c r="A5" s="8"/>
      <c r="B5" s="8"/>
      <c r="C5" s="8"/>
      <c r="D5" s="8"/>
      <c r="E5" s="8"/>
      <c r="F5" s="8"/>
      <c r="G5" s="8"/>
      <c r="H5" s="8"/>
      <c r="I5" s="8"/>
    </row>
    <row r="6" spans="1:9" s="4" customFormat="1" ht="11.25" x14ac:dyDescent="0.25">
      <c r="A6" s="9"/>
      <c r="B6" s="9"/>
      <c r="C6" s="9"/>
      <c r="D6" s="10" t="s">
        <v>7</v>
      </c>
      <c r="E6" s="10"/>
      <c r="F6" s="10"/>
      <c r="G6" s="10"/>
      <c r="H6" s="11" t="s">
        <v>8</v>
      </c>
      <c r="I6" s="11"/>
    </row>
    <row r="7" spans="1:9" s="4" customFormat="1" ht="11.25" x14ac:dyDescent="0.25">
      <c r="A7" s="12" t="s">
        <v>9</v>
      </c>
      <c r="B7" s="12"/>
      <c r="C7" s="12"/>
      <c r="D7" s="13" t="s">
        <v>10</v>
      </c>
      <c r="E7" s="13"/>
      <c r="F7" s="13"/>
      <c r="G7" s="13"/>
      <c r="H7" s="12" t="s">
        <v>11</v>
      </c>
      <c r="I7" s="12"/>
    </row>
    <row r="8" spans="1:9" s="4" customFormat="1" ht="11.25" x14ac:dyDescent="0.25">
      <c r="A8" s="14" t="s">
        <v>12</v>
      </c>
      <c r="B8" s="14"/>
      <c r="C8" s="14"/>
      <c r="D8" s="12" t="s">
        <v>13</v>
      </c>
      <c r="E8" s="12"/>
      <c r="F8" s="15" t="s">
        <v>14</v>
      </c>
      <c r="G8" s="15"/>
      <c r="H8" s="14" t="s">
        <v>15</v>
      </c>
      <c r="I8" s="14"/>
    </row>
    <row r="9" spans="1:9" s="4" customFormat="1" ht="11.25" x14ac:dyDescent="0.25">
      <c r="A9" s="9"/>
      <c r="B9" s="9"/>
      <c r="C9" s="9"/>
      <c r="D9" s="13" t="s">
        <v>16</v>
      </c>
      <c r="E9" s="13"/>
      <c r="F9" s="13" t="s">
        <v>17</v>
      </c>
      <c r="G9" s="13"/>
      <c r="H9" s="16" t="s">
        <v>8</v>
      </c>
      <c r="I9" s="16"/>
    </row>
    <row r="10" spans="1:9" s="4" customFormat="1" ht="12" thickBot="1" x14ac:dyDescent="0.3">
      <c r="A10" s="17" t="s">
        <v>18</v>
      </c>
      <c r="B10" s="17"/>
      <c r="C10" s="17"/>
      <c r="D10" s="17" t="s">
        <v>19</v>
      </c>
      <c r="E10" s="17"/>
      <c r="F10" s="17" t="s">
        <v>20</v>
      </c>
      <c r="G10" s="17"/>
      <c r="H10" s="17" t="s">
        <v>21</v>
      </c>
      <c r="I10" s="17"/>
    </row>
    <row r="11" spans="1:9" s="4" customFormat="1" ht="12" customHeight="1" x14ac:dyDescent="0.25">
      <c r="A11" s="18" t="s">
        <v>22</v>
      </c>
      <c r="B11" s="6" t="s">
        <v>23</v>
      </c>
      <c r="C11" s="6"/>
      <c r="D11" s="19">
        <v>531</v>
      </c>
      <c r="E11" s="19"/>
      <c r="F11" s="19">
        <v>583</v>
      </c>
      <c r="G11" s="19"/>
      <c r="H11" s="19">
        <f>+D11+F11</f>
        <v>1114</v>
      </c>
      <c r="I11" s="20"/>
    </row>
    <row r="12" spans="1:9" s="4" customFormat="1" ht="12" customHeight="1" x14ac:dyDescent="0.25">
      <c r="A12" s="18" t="s">
        <v>24</v>
      </c>
      <c r="B12" s="6" t="s">
        <v>25</v>
      </c>
      <c r="C12" s="6"/>
      <c r="D12" s="19">
        <v>552</v>
      </c>
      <c r="E12" s="19"/>
      <c r="F12" s="19">
        <v>637</v>
      </c>
      <c r="G12" s="19"/>
      <c r="H12" s="19">
        <f t="shared" ref="H12:H45" si="0">+D12+F12</f>
        <v>1189</v>
      </c>
      <c r="I12" s="20"/>
    </row>
    <row r="13" spans="1:9" s="4" customFormat="1" ht="12" customHeight="1" x14ac:dyDescent="0.25">
      <c r="A13" s="18" t="s">
        <v>26</v>
      </c>
      <c r="B13" s="6" t="s">
        <v>27</v>
      </c>
      <c r="C13" s="6"/>
      <c r="D13" s="19">
        <v>378</v>
      </c>
      <c r="E13" s="19"/>
      <c r="F13" s="19">
        <v>462</v>
      </c>
      <c r="G13" s="19"/>
      <c r="H13" s="19">
        <f t="shared" si="0"/>
        <v>840</v>
      </c>
      <c r="I13" s="20"/>
    </row>
    <row r="14" spans="1:9" s="4" customFormat="1" ht="12" customHeight="1" x14ac:dyDescent="0.25">
      <c r="A14" s="18" t="s">
        <v>28</v>
      </c>
      <c r="B14" s="6" t="s">
        <v>29</v>
      </c>
      <c r="C14" s="6"/>
      <c r="D14" s="19">
        <v>364</v>
      </c>
      <c r="E14" s="19"/>
      <c r="F14" s="19">
        <v>392</v>
      </c>
      <c r="G14" s="19"/>
      <c r="H14" s="19">
        <f t="shared" si="0"/>
        <v>756</v>
      </c>
      <c r="I14" s="20"/>
    </row>
    <row r="15" spans="1:9" s="4" customFormat="1" ht="12" customHeight="1" x14ac:dyDescent="0.25">
      <c r="A15" s="18" t="s">
        <v>30</v>
      </c>
      <c r="B15" s="6" t="s">
        <v>31</v>
      </c>
      <c r="C15" s="6"/>
      <c r="D15" s="19">
        <v>560</v>
      </c>
      <c r="E15" s="19"/>
      <c r="F15" s="19">
        <v>605</v>
      </c>
      <c r="G15" s="19"/>
      <c r="H15" s="19">
        <f t="shared" si="0"/>
        <v>1165</v>
      </c>
      <c r="I15" s="20"/>
    </row>
    <row r="16" spans="1:9" s="4" customFormat="1" ht="12" customHeight="1" x14ac:dyDescent="0.25">
      <c r="A16" s="18" t="s">
        <v>32</v>
      </c>
      <c r="B16" s="6" t="s">
        <v>33</v>
      </c>
      <c r="C16" s="6"/>
      <c r="D16" s="19">
        <v>338</v>
      </c>
      <c r="E16" s="19"/>
      <c r="F16" s="19">
        <v>344</v>
      </c>
      <c r="G16" s="19"/>
      <c r="H16" s="19">
        <f t="shared" si="0"/>
        <v>682</v>
      </c>
      <c r="I16" s="20"/>
    </row>
    <row r="17" spans="1:9" s="4" customFormat="1" ht="12" customHeight="1" x14ac:dyDescent="0.25">
      <c r="A17" s="18" t="s">
        <v>34</v>
      </c>
      <c r="B17" s="6" t="s">
        <v>35</v>
      </c>
      <c r="C17" s="6"/>
      <c r="D17" s="19">
        <v>389</v>
      </c>
      <c r="E17" s="19"/>
      <c r="F17" s="19">
        <v>360</v>
      </c>
      <c r="G17" s="19"/>
      <c r="H17" s="19">
        <f t="shared" si="0"/>
        <v>749</v>
      </c>
      <c r="I17" s="20"/>
    </row>
    <row r="18" spans="1:9" s="4" customFormat="1" ht="12" customHeight="1" x14ac:dyDescent="0.25">
      <c r="A18" s="18" t="s">
        <v>36</v>
      </c>
      <c r="B18" s="6" t="s">
        <v>37</v>
      </c>
      <c r="C18" s="6"/>
      <c r="D18" s="19">
        <v>517</v>
      </c>
      <c r="E18" s="19"/>
      <c r="F18" s="19">
        <v>592</v>
      </c>
      <c r="G18" s="19"/>
      <c r="H18" s="19">
        <f t="shared" si="0"/>
        <v>1109</v>
      </c>
      <c r="I18" s="20"/>
    </row>
    <row r="19" spans="1:9" s="4" customFormat="1" ht="12" customHeight="1" x14ac:dyDescent="0.25">
      <c r="A19" s="18" t="s">
        <v>38</v>
      </c>
      <c r="B19" s="6" t="s">
        <v>39</v>
      </c>
      <c r="C19" s="6"/>
      <c r="D19" s="19">
        <v>342</v>
      </c>
      <c r="E19" s="19"/>
      <c r="F19" s="19">
        <v>404</v>
      </c>
      <c r="G19" s="19"/>
      <c r="H19" s="19">
        <f t="shared" si="0"/>
        <v>746</v>
      </c>
      <c r="I19" s="20"/>
    </row>
    <row r="20" spans="1:9" s="4" customFormat="1" ht="12" customHeight="1" x14ac:dyDescent="0.25">
      <c r="A20" s="18" t="s">
        <v>40</v>
      </c>
      <c r="B20" s="6" t="s">
        <v>41</v>
      </c>
      <c r="C20" s="6"/>
      <c r="D20" s="19">
        <v>543</v>
      </c>
      <c r="E20" s="19"/>
      <c r="F20" s="19">
        <v>607</v>
      </c>
      <c r="G20" s="19"/>
      <c r="H20" s="19">
        <f t="shared" si="0"/>
        <v>1150</v>
      </c>
      <c r="I20" s="20"/>
    </row>
    <row r="21" spans="1:9" s="4" customFormat="1" ht="12" customHeight="1" x14ac:dyDescent="0.25">
      <c r="A21" s="18" t="s">
        <v>42</v>
      </c>
      <c r="B21" s="6" t="s">
        <v>43</v>
      </c>
      <c r="C21" s="6"/>
      <c r="D21" s="19">
        <v>376</v>
      </c>
      <c r="E21" s="19"/>
      <c r="F21" s="19">
        <v>424</v>
      </c>
      <c r="G21" s="19"/>
      <c r="H21" s="19">
        <f t="shared" si="0"/>
        <v>800</v>
      </c>
      <c r="I21" s="20"/>
    </row>
    <row r="22" spans="1:9" s="4" customFormat="1" ht="12" customHeight="1" x14ac:dyDescent="0.25">
      <c r="A22" s="18" t="s">
        <v>44</v>
      </c>
      <c r="B22" s="6" t="s">
        <v>45</v>
      </c>
      <c r="C22" s="6"/>
      <c r="D22" s="19">
        <v>192</v>
      </c>
      <c r="E22" s="19"/>
      <c r="F22" s="19">
        <v>220</v>
      </c>
      <c r="G22" s="19"/>
      <c r="H22" s="19">
        <f t="shared" si="0"/>
        <v>412</v>
      </c>
      <c r="I22" s="20"/>
    </row>
    <row r="23" spans="1:9" s="4" customFormat="1" ht="12" customHeight="1" x14ac:dyDescent="0.25">
      <c r="A23" s="18" t="s">
        <v>46</v>
      </c>
      <c r="B23" s="6" t="s">
        <v>47</v>
      </c>
      <c r="C23" s="6"/>
      <c r="D23" s="19">
        <v>300</v>
      </c>
      <c r="E23" s="19"/>
      <c r="F23" s="19">
        <v>325</v>
      </c>
      <c r="G23" s="19"/>
      <c r="H23" s="19">
        <f t="shared" si="0"/>
        <v>625</v>
      </c>
      <c r="I23" s="20"/>
    </row>
    <row r="24" spans="1:9" s="4" customFormat="1" ht="12" customHeight="1" x14ac:dyDescent="0.25">
      <c r="A24" s="18" t="s">
        <v>48</v>
      </c>
      <c r="B24" s="6" t="s">
        <v>49</v>
      </c>
      <c r="C24" s="6"/>
      <c r="D24" s="19">
        <v>543</v>
      </c>
      <c r="E24" s="19"/>
      <c r="F24" s="19">
        <v>615</v>
      </c>
      <c r="G24" s="19"/>
      <c r="H24" s="19">
        <f t="shared" si="0"/>
        <v>1158</v>
      </c>
      <c r="I24" s="20"/>
    </row>
    <row r="25" spans="1:9" s="4" customFormat="1" ht="12" customHeight="1" x14ac:dyDescent="0.25">
      <c r="A25" s="18" t="s">
        <v>50</v>
      </c>
      <c r="B25" s="6" t="s">
        <v>51</v>
      </c>
      <c r="C25" s="6"/>
      <c r="D25" s="19">
        <v>460</v>
      </c>
      <c r="E25" s="19"/>
      <c r="F25" s="19">
        <v>524</v>
      </c>
      <c r="G25" s="19"/>
      <c r="H25" s="19">
        <f t="shared" si="0"/>
        <v>984</v>
      </c>
      <c r="I25" s="20"/>
    </row>
    <row r="26" spans="1:9" s="4" customFormat="1" ht="12" customHeight="1" x14ac:dyDescent="0.25">
      <c r="A26" s="18" t="s">
        <v>52</v>
      </c>
      <c r="B26" s="6" t="s">
        <v>53</v>
      </c>
      <c r="C26" s="6"/>
      <c r="D26" s="19">
        <v>312</v>
      </c>
      <c r="E26" s="19"/>
      <c r="F26" s="19">
        <v>393</v>
      </c>
      <c r="G26" s="19"/>
      <c r="H26" s="19">
        <f t="shared" si="0"/>
        <v>705</v>
      </c>
      <c r="I26" s="20"/>
    </row>
    <row r="27" spans="1:9" s="4" customFormat="1" ht="12" customHeight="1" x14ac:dyDescent="0.25">
      <c r="A27" s="18" t="s">
        <v>54</v>
      </c>
      <c r="B27" s="6" t="s">
        <v>55</v>
      </c>
      <c r="C27" s="6"/>
      <c r="D27" s="19">
        <v>376</v>
      </c>
      <c r="E27" s="19"/>
      <c r="F27" s="19">
        <v>435</v>
      </c>
      <c r="G27" s="19"/>
      <c r="H27" s="19">
        <f t="shared" si="0"/>
        <v>811</v>
      </c>
      <c r="I27" s="20"/>
    </row>
    <row r="28" spans="1:9" s="4" customFormat="1" ht="12" customHeight="1" x14ac:dyDescent="0.25">
      <c r="A28" s="18" t="s">
        <v>56</v>
      </c>
      <c r="B28" s="6" t="s">
        <v>57</v>
      </c>
      <c r="C28" s="6"/>
      <c r="D28" s="19">
        <v>791</v>
      </c>
      <c r="E28" s="19"/>
      <c r="F28" s="19">
        <v>965</v>
      </c>
      <c r="G28" s="19"/>
      <c r="H28" s="19">
        <f t="shared" si="0"/>
        <v>1756</v>
      </c>
      <c r="I28" s="20"/>
    </row>
    <row r="29" spans="1:9" s="4" customFormat="1" ht="12" customHeight="1" x14ac:dyDescent="0.25">
      <c r="A29" s="18" t="s">
        <v>58</v>
      </c>
      <c r="B29" s="6" t="s">
        <v>59</v>
      </c>
      <c r="C29" s="6"/>
      <c r="D29" s="19">
        <v>593</v>
      </c>
      <c r="E29" s="19"/>
      <c r="F29" s="19">
        <v>725</v>
      </c>
      <c r="G29" s="19"/>
      <c r="H29" s="19">
        <f t="shared" si="0"/>
        <v>1318</v>
      </c>
      <c r="I29" s="20"/>
    </row>
    <row r="30" spans="1:9" s="4" customFormat="1" ht="12" customHeight="1" x14ac:dyDescent="0.25">
      <c r="A30" s="18" t="s">
        <v>60</v>
      </c>
      <c r="B30" s="6" t="s">
        <v>61</v>
      </c>
      <c r="C30" s="6"/>
      <c r="D30" s="19">
        <v>513</v>
      </c>
      <c r="E30" s="19"/>
      <c r="F30" s="19">
        <v>630</v>
      </c>
      <c r="G30" s="19"/>
      <c r="H30" s="19">
        <f t="shared" si="0"/>
        <v>1143</v>
      </c>
      <c r="I30" s="20"/>
    </row>
    <row r="31" spans="1:9" s="4" customFormat="1" ht="12" customHeight="1" x14ac:dyDescent="0.25">
      <c r="A31" s="18" t="s">
        <v>62</v>
      </c>
      <c r="B31" s="6" t="s">
        <v>63</v>
      </c>
      <c r="C31" s="6"/>
      <c r="D31" s="19">
        <v>767</v>
      </c>
      <c r="E31" s="19"/>
      <c r="F31" s="19">
        <v>893</v>
      </c>
      <c r="G31" s="19"/>
      <c r="H31" s="19">
        <f t="shared" si="0"/>
        <v>1660</v>
      </c>
      <c r="I31" s="20"/>
    </row>
    <row r="32" spans="1:9" s="4" customFormat="1" ht="12" customHeight="1" x14ac:dyDescent="0.25">
      <c r="A32" s="18" t="s">
        <v>64</v>
      </c>
      <c r="B32" s="6" t="s">
        <v>65</v>
      </c>
      <c r="C32" s="6"/>
      <c r="D32" s="19">
        <v>399</v>
      </c>
      <c r="E32" s="19"/>
      <c r="F32" s="19">
        <v>451</v>
      </c>
      <c r="G32" s="19"/>
      <c r="H32" s="19">
        <f t="shared" si="0"/>
        <v>850</v>
      </c>
      <c r="I32" s="20"/>
    </row>
    <row r="33" spans="1:10" s="4" customFormat="1" ht="12" customHeight="1" x14ac:dyDescent="0.25">
      <c r="A33" s="18" t="s">
        <v>66</v>
      </c>
      <c r="B33" s="6" t="s">
        <v>67</v>
      </c>
      <c r="C33" s="6"/>
      <c r="D33" s="19">
        <v>286</v>
      </c>
      <c r="E33" s="19"/>
      <c r="F33" s="19">
        <v>327</v>
      </c>
      <c r="G33" s="19"/>
      <c r="H33" s="19">
        <f t="shared" si="0"/>
        <v>613</v>
      </c>
      <c r="I33" s="20"/>
    </row>
    <row r="34" spans="1:10" s="4" customFormat="1" ht="12" customHeight="1" x14ac:dyDescent="0.25">
      <c r="A34" s="18" t="s">
        <v>68</v>
      </c>
      <c r="B34" s="6" t="s">
        <v>69</v>
      </c>
      <c r="C34" s="6"/>
      <c r="D34" s="19">
        <v>519</v>
      </c>
      <c r="E34" s="19"/>
      <c r="F34" s="19">
        <v>618</v>
      </c>
      <c r="G34" s="19"/>
      <c r="H34" s="19">
        <f t="shared" si="0"/>
        <v>1137</v>
      </c>
      <c r="I34" s="20"/>
    </row>
    <row r="35" spans="1:10" s="4" customFormat="1" ht="12" customHeight="1" x14ac:dyDescent="0.25">
      <c r="A35" s="18" t="s">
        <v>70</v>
      </c>
      <c r="B35" s="6" t="s">
        <v>71</v>
      </c>
      <c r="C35" s="6"/>
      <c r="D35" s="19">
        <v>324</v>
      </c>
      <c r="E35" s="19"/>
      <c r="F35" s="19">
        <v>358</v>
      </c>
      <c r="G35" s="19"/>
      <c r="H35" s="19">
        <f t="shared" si="0"/>
        <v>682</v>
      </c>
      <c r="I35" s="20"/>
    </row>
    <row r="36" spans="1:10" s="4" customFormat="1" ht="12" customHeight="1" x14ac:dyDescent="0.25">
      <c r="A36" s="18" t="s">
        <v>72</v>
      </c>
      <c r="B36" s="6" t="s">
        <v>73</v>
      </c>
      <c r="C36" s="6"/>
      <c r="D36" s="19">
        <v>290</v>
      </c>
      <c r="E36" s="19"/>
      <c r="F36" s="19">
        <v>358</v>
      </c>
      <c r="G36" s="19"/>
      <c r="H36" s="19">
        <f t="shared" si="0"/>
        <v>648</v>
      </c>
      <c r="I36" s="20"/>
    </row>
    <row r="37" spans="1:10" s="4" customFormat="1" ht="12" customHeight="1" x14ac:dyDescent="0.25">
      <c r="A37" s="18" t="s">
        <v>74</v>
      </c>
      <c r="B37" s="6" t="s">
        <v>75</v>
      </c>
      <c r="C37" s="6"/>
      <c r="D37" s="19">
        <v>277</v>
      </c>
      <c r="E37" s="19"/>
      <c r="F37" s="19">
        <v>365</v>
      </c>
      <c r="G37" s="19"/>
      <c r="H37" s="19">
        <f t="shared" si="0"/>
        <v>642</v>
      </c>
      <c r="I37" s="20"/>
    </row>
    <row r="38" spans="1:10" s="4" customFormat="1" ht="12" customHeight="1" x14ac:dyDescent="0.25">
      <c r="A38" s="18" t="s">
        <v>76</v>
      </c>
      <c r="B38" s="6" t="s">
        <v>77</v>
      </c>
      <c r="C38" s="6"/>
      <c r="D38" s="19">
        <v>538</v>
      </c>
      <c r="E38" s="19"/>
      <c r="F38" s="19">
        <v>691</v>
      </c>
      <c r="G38" s="19"/>
      <c r="H38" s="19">
        <f t="shared" si="0"/>
        <v>1229</v>
      </c>
      <c r="I38" s="20"/>
    </row>
    <row r="39" spans="1:10" s="4" customFormat="1" ht="12" customHeight="1" x14ac:dyDescent="0.25">
      <c r="A39" s="18" t="s">
        <v>78</v>
      </c>
      <c r="B39" s="6" t="s">
        <v>79</v>
      </c>
      <c r="C39" s="6"/>
      <c r="D39" s="19">
        <v>537</v>
      </c>
      <c r="E39" s="19"/>
      <c r="F39" s="19">
        <v>637</v>
      </c>
      <c r="G39" s="19"/>
      <c r="H39" s="19">
        <f t="shared" si="0"/>
        <v>1174</v>
      </c>
      <c r="I39" s="20"/>
    </row>
    <row r="40" spans="1:10" s="4" customFormat="1" ht="12" customHeight="1" x14ac:dyDescent="0.25">
      <c r="A40" s="18" t="s">
        <v>80</v>
      </c>
      <c r="B40" s="6" t="s">
        <v>81</v>
      </c>
      <c r="C40" s="6"/>
      <c r="D40" s="19">
        <v>57</v>
      </c>
      <c r="E40" s="19"/>
      <c r="F40" s="19">
        <v>93</v>
      </c>
      <c r="G40" s="19"/>
      <c r="H40" s="19">
        <f t="shared" si="0"/>
        <v>150</v>
      </c>
      <c r="I40" s="20"/>
    </row>
    <row r="41" spans="1:10" s="4" customFormat="1" ht="12" customHeight="1" x14ac:dyDescent="0.25">
      <c r="A41" s="18" t="s">
        <v>82</v>
      </c>
      <c r="B41" s="6" t="s">
        <v>83</v>
      </c>
      <c r="C41" s="6"/>
      <c r="D41" s="19">
        <v>303</v>
      </c>
      <c r="E41" s="19"/>
      <c r="F41" s="19">
        <v>393</v>
      </c>
      <c r="G41" s="19"/>
      <c r="H41" s="19">
        <f t="shared" si="0"/>
        <v>696</v>
      </c>
      <c r="I41" s="20"/>
    </row>
    <row r="42" spans="1:10" s="4" customFormat="1" ht="12" customHeight="1" x14ac:dyDescent="0.25">
      <c r="A42" s="18" t="s">
        <v>84</v>
      </c>
      <c r="B42" s="6" t="s">
        <v>85</v>
      </c>
      <c r="C42" s="6"/>
      <c r="D42" s="19">
        <v>95</v>
      </c>
      <c r="E42" s="19"/>
      <c r="F42" s="19">
        <v>124</v>
      </c>
      <c r="G42" s="19"/>
      <c r="H42" s="19">
        <f t="shared" si="0"/>
        <v>219</v>
      </c>
      <c r="I42" s="20"/>
    </row>
    <row r="43" spans="1:10" s="4" customFormat="1" ht="12" customHeight="1" x14ac:dyDescent="0.25">
      <c r="A43" s="18" t="s">
        <v>86</v>
      </c>
      <c r="B43" s="6" t="s">
        <v>87</v>
      </c>
      <c r="C43" s="6"/>
      <c r="D43" s="19">
        <v>1049</v>
      </c>
      <c r="E43" s="19"/>
      <c r="F43" s="19">
        <v>1222</v>
      </c>
      <c r="G43" s="19"/>
      <c r="H43" s="19">
        <f t="shared" si="0"/>
        <v>2271</v>
      </c>
      <c r="I43" s="20"/>
    </row>
    <row r="44" spans="1:10" s="4" customFormat="1" ht="12" customHeight="1" x14ac:dyDescent="0.25">
      <c r="A44" s="18" t="s">
        <v>88</v>
      </c>
      <c r="B44" s="6" t="s">
        <v>89</v>
      </c>
      <c r="C44" s="6"/>
      <c r="D44" s="19">
        <v>187</v>
      </c>
      <c r="E44" s="19"/>
      <c r="F44" s="19">
        <v>226</v>
      </c>
      <c r="G44" s="19"/>
      <c r="H44" s="19">
        <f t="shared" si="0"/>
        <v>413</v>
      </c>
      <c r="I44" s="20"/>
    </row>
    <row r="45" spans="1:10" s="4" customFormat="1" ht="12" customHeight="1" thickBot="1" x14ac:dyDescent="0.3">
      <c r="A45" s="21" t="s">
        <v>90</v>
      </c>
      <c r="B45" s="8" t="s">
        <v>91</v>
      </c>
      <c r="C45" s="8"/>
      <c r="D45" s="22">
        <v>158</v>
      </c>
      <c r="E45" s="22"/>
      <c r="F45" s="22">
        <v>203</v>
      </c>
      <c r="G45" s="22"/>
      <c r="H45" s="22">
        <f t="shared" si="0"/>
        <v>361</v>
      </c>
      <c r="I45" s="23"/>
    </row>
    <row r="46" spans="1:10" s="4" customFormat="1" ht="12" thickBot="1" x14ac:dyDescent="0.3">
      <c r="A46" s="24" t="s">
        <v>92</v>
      </c>
      <c r="B46" s="24"/>
      <c r="C46" s="25">
        <v>2017</v>
      </c>
      <c r="D46" s="26">
        <f>SUM(D11:D45)</f>
        <v>14756</v>
      </c>
      <c r="E46" s="26"/>
      <c r="F46" s="26">
        <f>SUM(F11:F45)</f>
        <v>17201</v>
      </c>
      <c r="G46" s="26"/>
      <c r="H46" s="27">
        <f>SUM(H11:H45)</f>
        <v>31957</v>
      </c>
      <c r="I46" s="28"/>
      <c r="J46" s="29"/>
    </row>
    <row r="47" spans="1:10" s="4" customFormat="1" ht="11.25" x14ac:dyDescent="0.25">
      <c r="A47" s="24"/>
      <c r="B47" s="24"/>
      <c r="C47" s="25">
        <v>2016</v>
      </c>
      <c r="D47" s="26">
        <v>11746</v>
      </c>
      <c r="E47" s="26"/>
      <c r="F47" s="26">
        <v>13329</v>
      </c>
      <c r="G47" s="26"/>
      <c r="H47" s="27">
        <v>25075</v>
      </c>
      <c r="I47" s="28"/>
      <c r="J47" s="29"/>
    </row>
    <row r="48" spans="1:10" s="4" customFormat="1" ht="11.25" x14ac:dyDescent="0.25">
      <c r="A48" s="30"/>
      <c r="B48" s="30"/>
      <c r="C48" s="31">
        <v>2015</v>
      </c>
      <c r="D48" s="26">
        <v>11114</v>
      </c>
      <c r="E48" s="26"/>
      <c r="F48" s="26">
        <v>12459</v>
      </c>
      <c r="G48" s="26"/>
      <c r="H48" s="26">
        <v>23573</v>
      </c>
      <c r="I48" s="28"/>
      <c r="J48" s="29"/>
    </row>
    <row r="49" spans="1:21" s="4" customFormat="1" ht="11.25" x14ac:dyDescent="0.25">
      <c r="A49" s="30"/>
      <c r="B49" s="30"/>
      <c r="C49" s="31">
        <v>2014</v>
      </c>
      <c r="D49" s="26">
        <v>11936</v>
      </c>
      <c r="E49" s="26"/>
      <c r="F49" s="26">
        <v>13270</v>
      </c>
      <c r="G49" s="26"/>
      <c r="H49" s="26">
        <v>25206</v>
      </c>
      <c r="I49" s="28"/>
      <c r="J49" s="29"/>
    </row>
    <row r="50" spans="1:21" s="4" customFormat="1" ht="11.25" x14ac:dyDescent="0.25">
      <c r="A50" s="30"/>
      <c r="B50" s="30"/>
      <c r="C50" s="31">
        <v>2013</v>
      </c>
      <c r="D50" s="26">
        <v>14170</v>
      </c>
      <c r="E50" s="26"/>
      <c r="F50" s="26">
        <v>15489</v>
      </c>
      <c r="G50" s="26"/>
      <c r="H50" s="26">
        <v>29659</v>
      </c>
      <c r="I50" s="28"/>
      <c r="J50" s="29"/>
    </row>
    <row r="51" spans="1:21" s="4" customFormat="1" ht="11.25" x14ac:dyDescent="0.25">
      <c r="A51" s="30"/>
      <c r="B51" s="30"/>
      <c r="C51" s="31">
        <v>2012</v>
      </c>
      <c r="D51" s="26">
        <v>14228</v>
      </c>
      <c r="E51" s="26"/>
      <c r="F51" s="26">
        <v>15441</v>
      </c>
      <c r="G51" s="26"/>
      <c r="H51" s="26">
        <v>29669</v>
      </c>
      <c r="I51" s="28"/>
      <c r="J51" s="29"/>
    </row>
    <row r="52" spans="1:21" s="4" customFormat="1" ht="11.25" x14ac:dyDescent="0.25">
      <c r="A52" s="2" t="s">
        <v>93</v>
      </c>
      <c r="B52" s="6"/>
      <c r="C52" s="6"/>
      <c r="D52" s="6"/>
      <c r="E52" s="6"/>
      <c r="F52" s="6"/>
      <c r="G52" s="6"/>
      <c r="H52" s="6"/>
      <c r="I52" s="6"/>
    </row>
    <row r="53" spans="1:21" s="4" customFormat="1" ht="11.25" x14ac:dyDescent="0.25">
      <c r="A53" s="32" t="s">
        <v>94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</row>
    <row r="54" spans="1:21" ht="10.5" customHeight="1" x14ac:dyDescent="0.25"/>
    <row r="55" spans="1:21" ht="10.5" customHeight="1" x14ac:dyDescent="0.25"/>
    <row r="56" spans="1:21" ht="10.5" customHeight="1" x14ac:dyDescent="0.25"/>
  </sheetData>
  <mergeCells count="20">
    <mergeCell ref="A10:C10"/>
    <mergeCell ref="D10:E10"/>
    <mergeCell ref="F10:G10"/>
    <mergeCell ref="H10:I10"/>
    <mergeCell ref="A46:B46"/>
    <mergeCell ref="A47:B47"/>
    <mergeCell ref="A8:C8"/>
    <mergeCell ref="D8:E8"/>
    <mergeCell ref="F8:G8"/>
    <mergeCell ref="H8:I8"/>
    <mergeCell ref="D9:E9"/>
    <mergeCell ref="F9:G9"/>
    <mergeCell ref="C1:I1"/>
    <mergeCell ref="C2:I2"/>
    <mergeCell ref="C3:I3"/>
    <mergeCell ref="C4:I4"/>
    <mergeCell ref="D6:G6"/>
    <mergeCell ref="A7:C7"/>
    <mergeCell ref="D7:G7"/>
    <mergeCell ref="H7:I7"/>
  </mergeCells>
  <printOptions horizontalCentered="1"/>
  <pageMargins left="0.47244094488188998" right="0.39370078740157499" top="0.196850393700787" bottom="0.39370078740157499" header="0.511811023622047" footer="0.39370078740157499"/>
  <pageSetup paperSize="13" orientation="portrait" horizontalDpi="180" verticalDpi="180" r:id="rId1"/>
  <headerFooter scaleWithDoc="0">
    <oddFooter>&amp;C&amp;G&amp;"Arial,Regular"&amp;9 150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Tabel 4.3.5</vt:lpstr>
      <vt:lpstr>'Tabel 4.3.5'!Print_Area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2018-08-08T02:42:15Z</dcterms:created>
  <dcterms:modified xsi:type="dcterms:W3CDTF">2018-08-08T02:42:43Z</dcterms:modified>
</cp:coreProperties>
</file>